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llproject\Excel_ projects\workshop\"/>
    </mc:Choice>
  </mc:AlternateContent>
  <xr:revisionPtr revIDLastSave="0" documentId="13_ncr:1_{63EA5918-3E99-474B-8D2E-1DBEE7DF6619}" xr6:coauthVersionLast="47" xr6:coauthVersionMax="47" xr10:uidLastSave="{00000000-0000-0000-0000-000000000000}"/>
  <bookViews>
    <workbookView xWindow="-120" yWindow="-120" windowWidth="20730" windowHeight="11160" activeTab="1" xr2:uid="{00000000-000D-0000-FFFF-FFFF00000000}"/>
  </bookViews>
  <sheets>
    <sheet name="poivot table" sheetId="1" r:id="rId1"/>
    <sheet name="dashboard" sheetId="4" r:id="rId2"/>
    <sheet name="Sheet4" sheetId="7" r:id="rId3"/>
  </sheets>
  <definedNames>
    <definedName name="Slicer_Country">#N/A</definedName>
    <definedName name="Slicer_Item_Category">#N/A</definedName>
    <definedName name="Slicer_Year1">#N/A</definedName>
  </definedNames>
  <calcPr calcId="191029"/>
  <pivotCaches>
    <pivotCache cacheId="0" r:id="rId4"/>
    <pivotCache cacheId="219" r:id="rId5"/>
    <pivotCache cacheId="222" r:id="rId6"/>
    <pivotCache cacheId="225" r:id="rId7"/>
    <pivotCache cacheId="228" r:id="rId8"/>
    <pivotCache cacheId="231"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Data_51934f76-7788-446e-ad12-3da89ce0b44c" name="Customer Data" connection="Query - Customer Data"/>
          <x15:modelTable id="Item Cost_2ebd07cd-3283-4129-95ae-9b9832c95ca4" name="Item Cost" connection="Query - Item Cost"/>
          <x15:modelTable id="Price List_4cbaad0b-c1f1-4976-8010-2286f9b6fa84" name="Price List" connection="Query - Price List"/>
          <x15:modelTable id="Total Targets 4 Years_452beda8-0e32-4257-b32d-fced097b8993" name="Total Targets 4 Years" connection="Query - Total Targets 4 Years"/>
          <x15:modelTable id="Dates_ad11cc6a-0925-4386-8caa-b00d8dbb638a" name="Dates" connection="Query - Dates"/>
          <x15:modelTable id="Sales_dc85ac34-fde7-4cd2-a44d-147794241a59" name="Sales" connection="Query - Sales"/>
        </x15:modelTables>
        <x15:modelRelationships>
          <x15:modelRelationship fromTable="Total Targets 4 Years" fromColumn="Customer ID" toTable="Customer Data" toColumn="Customer ID"/>
          <x15:modelRelationship fromTable="Sales" fromColumn="Item Code" toTable="Item Cost" toColumn="Item Code"/>
          <x15:modelRelationship fromTable="Sales" fromColumn="Item Code" toTable="Price List" toColumn="Item Code"/>
          <x15:modelRelationship fromTable="Sales" fromColumn="Customer ID" toTable="Customer Data" toColumn="Customer ID"/>
          <x15:modelRelationship fromTable="Sales" fromColumn="Date" toTable="Dates" toColumn="Date"/>
        </x15:modelRelationships>
      </x15:dataModel>
    </ext>
  </extLst>
</workbook>
</file>

<file path=xl/calcChain.xml><?xml version="1.0" encoding="utf-8"?>
<calcChain xmlns="http://schemas.openxmlformats.org/spreadsheetml/2006/main">
  <c r="B38" i="1" l="1"/>
  <c r="B37" i="1"/>
  <c r="B36" i="1"/>
  <c r="B35" i="1"/>
  <c r="B3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4EC14B-5D15-4C8A-8F4E-E8411CC0A35F}" name="Query - Customer Data" description="Connection to the 'Customer Data' query in the workbook." type="100" refreshedVersion="8" minRefreshableVersion="5">
    <extLst>
      <ext xmlns:x15="http://schemas.microsoft.com/office/spreadsheetml/2010/11/main" uri="{DE250136-89BD-433C-8126-D09CA5730AF9}">
        <x15:connection id="d6fd5c5f-0357-4161-9076-1b53135eced3">
          <x15:oledbPr connection="Provider=Microsoft.Mashup.OleDb.1;Data Source=$Workbook$;Location=&quot;Customer Data&quot;;Extended Properties=&quot;&quot;">
            <x15:dbTables>
              <x15:dbTable name="Customer Data"/>
            </x15:dbTables>
          </x15:oledbPr>
        </x15:connection>
      </ext>
    </extLst>
  </connection>
  <connection id="2" xr16:uid="{24575E39-6590-40EF-A24C-BD2097EA3437}" name="Query - Dates" description="Connection to the 'Dates' query in the workbook." type="100" refreshedVersion="8" minRefreshableVersion="5">
    <extLst>
      <ext xmlns:x15="http://schemas.microsoft.com/office/spreadsheetml/2010/11/main" uri="{DE250136-89BD-433C-8126-D09CA5730AF9}">
        <x15:connection id="bce8cacc-d86d-4695-933a-a9ade501da47"/>
      </ext>
    </extLst>
  </connection>
  <connection id="3" xr16:uid="{B91F7FB9-D351-467D-8355-CC1F838576DF}" name="Query - Item Cost" description="Connection to the 'Item Cost' query in the workbook." type="100" refreshedVersion="8" minRefreshableVersion="5">
    <extLst>
      <ext xmlns:x15="http://schemas.microsoft.com/office/spreadsheetml/2010/11/main" uri="{DE250136-89BD-433C-8126-D09CA5730AF9}">
        <x15:connection id="114210d4-c605-4bfd-9274-20bce6ef0790">
          <x15:oledbPr connection="Provider=Microsoft.Mashup.OleDb.1;Data Source=$Workbook$;Location=&quot;Item Cost&quot;;Extended Properties=&quot;&quot;">
            <x15:dbTables>
              <x15:dbTable name="Item Cost"/>
            </x15:dbTables>
          </x15:oledbPr>
        </x15:connection>
      </ext>
    </extLst>
  </connection>
  <connection id="4" xr16:uid="{98CBFFE8-3C4E-4BF1-88EA-86C881ED15D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2F1B2543-37F3-46F9-8536-EFEB6D7E1E38}" name="Query - Price List" description="Connection to the 'Price List' query in the workbook." type="100" refreshedVersion="8" minRefreshableVersion="5">
    <extLst>
      <ext xmlns:x15="http://schemas.microsoft.com/office/spreadsheetml/2010/11/main" uri="{DE250136-89BD-433C-8126-D09CA5730AF9}">
        <x15:connection id="287028ac-ecb4-442e-929f-77dfd428cd22">
          <x15:oledbPr connection="Provider=Microsoft.Mashup.OleDb.1;Data Source=$Workbook$;Location=&quot;Price List&quot;;Extended Properties=&quot;&quot;">
            <x15:dbTables>
              <x15:dbTable name="Price List"/>
            </x15:dbTables>
          </x15:oledbPr>
        </x15:connection>
      </ext>
    </extLst>
  </connection>
  <connection id="6" xr16:uid="{D5FD4E56-C648-44B9-AA78-D634B7FF11D7}" name="Query - Sales" description="Connection to the 'Sales' query in the workbook." type="100" refreshedVersion="8" minRefreshableVersion="5">
    <extLst>
      <ext xmlns:x15="http://schemas.microsoft.com/office/spreadsheetml/2010/11/main" uri="{DE250136-89BD-433C-8126-D09CA5730AF9}">
        <x15:connection id="65316de8-147d-4396-83fb-df6b2cb796c3">
          <x15:oledbPr connection="Provider=Microsoft.Mashup.OleDb.1;Data Source=$Workbook$;Location=Sales;Extended Properties=&quot;&quot;">
            <x15:dbTables>
              <x15:dbTable name="Sales"/>
            </x15:dbTables>
          </x15:oledbPr>
        </x15:connection>
      </ext>
    </extLst>
  </connection>
  <connection id="7" xr16:uid="{3B08868E-6314-4CD3-AD17-66BDD9C7FF2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8" xr16:uid="{8960C565-3277-46A3-B62A-616BD9A6D5CC}" name="Query - Total Targets 4 Years" description="Connection to the 'Total Targets 4 Years' query in the workbook." type="100" refreshedVersion="8" minRefreshableVersion="5">
    <extLst>
      <ext xmlns:x15="http://schemas.microsoft.com/office/spreadsheetml/2010/11/main" uri="{DE250136-89BD-433C-8126-D09CA5730AF9}">
        <x15:connection id="6df5362f-c6df-4575-ab08-9a90aa16bab1">
          <x15:oledbPr connection="Provider=Microsoft.Mashup.OleDb.1;Data Source=$Workbook$;Location=&quot;Total Targets 4 Years&quot;;Extended Properties=&quot;&quot;">
            <x15:dbTables>
              <x15:dbTable name="Total Targets 4 Years"/>
            </x15:dbTables>
          </x15:oledbPr>
        </x15:connection>
      </ext>
    </extLst>
  </connection>
  <connection id="9" xr16:uid="{56A62F71-1A72-41A3-BA73-6506FEBF2339}"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0" xr16:uid="{11C23833-5635-4855-AEF7-23C3568A715C}"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1" xr16:uid="{38452DC5-E439-4F41-8F16-B84083CB5C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<sst xmlns="http://schemas.openxmlformats.org/spreadsheetml/2006/main" count="46" uniqueCount="28">
  <si>
    <t>total net</t>
  </si>
  <si>
    <t>profit</t>
  </si>
  <si>
    <t>margin</t>
  </si>
  <si>
    <t>Growth</t>
  </si>
  <si>
    <t>Row Labels</t>
  </si>
  <si>
    <t>Grand Total</t>
  </si>
  <si>
    <t>Air Conditioners</t>
  </si>
  <si>
    <t>Home Appliances</t>
  </si>
  <si>
    <t>Laptops</t>
  </si>
  <si>
    <t>Mobiles</t>
  </si>
  <si>
    <t>E-Commerce</t>
  </si>
  <si>
    <t>Key Accounts</t>
  </si>
  <si>
    <t>Retail</t>
  </si>
  <si>
    <t>Whole Sales</t>
  </si>
  <si>
    <t>total salees</t>
  </si>
  <si>
    <t xml:space="preserve"> value saless</t>
  </si>
  <si>
    <t>net</t>
  </si>
  <si>
    <t>Egypt</t>
  </si>
  <si>
    <t>Indonesia</t>
  </si>
  <si>
    <t>Kenya</t>
  </si>
  <si>
    <t>Libya</t>
  </si>
  <si>
    <t>Malaysia</t>
  </si>
  <si>
    <t>Palestine</t>
  </si>
  <si>
    <t>Saudi Arabia</t>
  </si>
  <si>
    <t>Sudan</t>
  </si>
  <si>
    <t>Syria</t>
  </si>
  <si>
    <t>Turkey</t>
  </si>
  <si>
    <t>Top 10 countries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</si>
</sst>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0.00%;\-0.00%;0.00%"/>
    <numFmt numFmtId="165" formatCode="_(* #,##0_);_(* \(#,##0\);_(* &quot;-&quot;??_);_(@_)"/>
  </numFmts>
  <fonts count="5" x14ac:knownFonts="1">
    <font>
      <sz val="11"/>
      <color theme="1"/>
      <name val="Calibri"/>
      <family val="2"/>
      <scheme val="minor"/>
    </font>
    <font>
      <sz val="11"/>
      <color theme="1"/>
      <name val="Calibri"/>
      <family val="2"/>
      <scheme val="minor"/>
    </font>
    <font>
      <sz val="11"/>
      <color theme="0"/>
      <name val="Calibri"/>
      <family val="2"/>
      <scheme val="minor"/>
    </font>
    <font>
      <b/>
      <sz val="26"/>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1" applyNumberFormat="1" applyFont="1"/>
    <xf numFmtId="10" fontId="0" fillId="0" borderId="0" xfId="2" applyNumberFormat="1" applyFont="1"/>
    <xf numFmtId="10" fontId="2" fillId="0" borderId="0" xfId="2" applyNumberFormat="1" applyFont="1"/>
    <xf numFmtId="165" fontId="4" fillId="0" borderId="0" xfId="1" applyNumberFormat="1" applyFont="1"/>
    <xf numFmtId="0" fontId="3" fillId="2" borderId="0" xfId="0" applyFont="1" applyFill="1"/>
    <xf numFmtId="0" fontId="0" fillId="2" borderId="0" xfId="0" applyFill="1"/>
  </cellXfs>
  <cellStyles count="3">
    <cellStyle name="Comma" xfId="1" builtinId="3"/>
    <cellStyle name="Normal" xfId="0" builtinId="0"/>
    <cellStyle name="Percent" xfId="2" builtinId="5"/>
  </cellStyles>
  <dxfs count="1">
    <dxf>
      <font>
        <color theme="5" tint="0.39994506668294322"/>
      </font>
    </dxf>
  </dxfs>
  <tableStyles count="4" defaultTableStyle="TableStyleMedium2" defaultPivotStyle="PivotStyleLight16">
    <tableStyle name="Slicer Style 1" pivot="0" table="0" count="0" xr9:uid="{0A19909B-991C-4331-AFC5-67B517578E24}"/>
    <tableStyle name="Slicer Style 2" pivot="0" table="0" count="0" xr9:uid="{3552D3AD-9624-4528-B417-B7E0720DC7D8}"/>
    <tableStyle name="Slicer Style 3" pivot="0" table="0" count="0" xr9:uid="{44E0D679-0D46-49F9-8CE2-C03CD7799669}"/>
    <tableStyle name="Slicer Style 4" pivot="0" table="0" count="1" xr9:uid="{83A4B20B-88DF-4FA2-BBC4-3E52CA796B8D}">
      <tableStyleElement type="wholeTable" dxfId="0"/>
    </tableStyle>
  </tableStyles>
  <colors>
    <mruColors>
      <color rgb="FF990000"/>
      <color rgb="FFFF7979"/>
      <color rgb="FF184820"/>
    </mruColors>
  </colors>
  <extLst>
    <ext xmlns:x14="http://schemas.microsoft.com/office/spreadsheetml/2009/9/main" uri="{EB79DEF2-80B8-43e5-95BD-54CBDDF9020C}">
      <x14:slicerStyles defaultSlicerStyle="Slicer Style 3">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49" Type="http://schemas.openxmlformats.org/officeDocument/2006/relationships/customXml" Target="../customXml/item30.xml"/><Relationship Id="rId10" Type="http://schemas.openxmlformats.org/officeDocument/2006/relationships/pivotCacheDefinition" Target="pivotCache/pivotCacheDefinition7.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[workshop.xlsx]poivot table!Margin</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400" b="0" i="0" u="none" strike="noStrike" baseline="0"/>
              <a:t>Net Revenue &amp; Margin by Item Category</a:t>
            </a:r>
            <a:endParaRPr lang="en-US"/>
          </a:p>
        </c:rich>
      </c:tx>
      <c:layout>
        <c:manualLayout>
          <c:xMode val="edge"/>
          <c:yMode val="edge"/>
          <c:x val="0.13542015694088669"/>
          <c:y val="3.5619477146037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lumMod val="50000"/>
              </a:schemeClr>
            </a:solidFill>
            <a:round/>
          </a:ln>
          <a:effectLst/>
        </c:spPr>
        <c:marker>
          <c:symbol val="none"/>
        </c:marker>
        <c:dLbl>
          <c:idx val="0"/>
          <c:layout>
            <c:manualLayout>
              <c:x val="-1.6942305225189302E-2"/>
              <c:y val="-6.73242779257108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lumMod val="50000"/>
              </a:schemeClr>
            </a:solidFill>
            <a:round/>
          </a:ln>
          <a:effectLst/>
        </c:spPr>
        <c:marker>
          <c:symbol val="none"/>
        </c:marker>
        <c:dLbl>
          <c:idx val="0"/>
          <c:layout>
            <c:manualLayout>
              <c:x val="-1.6942305225189355E-2"/>
              <c:y val="-3.62515342676905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5.178790609670061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3137385266035"/>
          <c:y val="0.16876129037519727"/>
          <c:w val="0.75628091104318018"/>
          <c:h val="0.59587042421227332"/>
        </c:manualLayout>
      </c:layout>
      <c:barChart>
        <c:barDir val="col"/>
        <c:grouping val="clustered"/>
        <c:varyColors val="0"/>
        <c:ser>
          <c:idx val="0"/>
          <c:order val="0"/>
          <c:tx>
            <c:strRef>
              <c:f>'poivot table'!$C$14</c:f>
              <c:strCache>
                <c:ptCount val="1"/>
                <c:pt idx="0">
                  <c:v>total net</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4-9B1E-4739-9046-C7731AAB2B10}"/>
              </c:ext>
            </c:extLst>
          </c:dPt>
          <c:dLbls>
            <c:dLbl>
              <c:idx val="2"/>
              <c:layout>
                <c:manualLayout>
                  <c:x val="0"/>
                  <c:y val="5.17879060967006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B1E-4739-9046-C7731AAB2B10}"/>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'poivot table'!$B$15:$B$19</c:f>
              <c:strCache>
                <c:ptCount val="4"/>
                <c:pt idx="0">
                  <c:v>Air Conditioners</c:v>
                </c:pt>
                <c:pt idx="1">
                  <c:v>Home Appliances</c:v>
                </c:pt>
                <c:pt idx="2">
                  <c:v>Laptops</c:v>
                </c:pt>
                <c:pt idx="3">
                  <c:v>Mobiles</c:v>
                </c:pt>
              </c:strCache>
            </c:strRef>
          </c:cat>
          <c:val>
            <c:numRef>
              <c:f>'poivot table'!$C$15:$C$19</c:f>
              <c:numCache>
                <c:formatCode>#,##0</c:formatCode>
                <c:ptCount val="4"/>
                <c:pt idx="0">
                  <c:v>57905920</c:v>
                </c:pt>
                <c:pt idx="1">
                  <c:v>146093299</c:v>
                </c:pt>
                <c:pt idx="2">
                  <c:v>91153088</c:v>
                </c:pt>
                <c:pt idx="3">
                  <c:v>45704012</c:v>
                </c:pt>
              </c:numCache>
            </c:numRef>
          </c:val>
          <c:extLst>
            <c:ext xmlns:c16="http://schemas.microsoft.com/office/drawing/2014/chart" uri="{C3380CC4-5D6E-409C-BE32-E72D297353CC}">
              <c16:uniqueId val="{00000000-9B1E-4739-9046-C7731AAB2B10}"/>
            </c:ext>
          </c:extLst>
        </c:ser>
        <c:dLbls>
          <c:showLegendKey val="0"/>
          <c:showVal val="1"/>
          <c:showCatName val="0"/>
          <c:showSerName val="0"/>
          <c:showPercent val="0"/>
          <c:showBubbleSize val="0"/>
        </c:dLbls>
        <c:gapWidth val="219"/>
        <c:overlap val="-27"/>
        <c:axId val="1305121432"/>
        <c:axId val="1305116392"/>
      </c:barChart>
      <c:lineChart>
        <c:grouping val="standard"/>
        <c:varyColors val="0"/>
        <c:ser>
          <c:idx val="1"/>
          <c:order val="1"/>
          <c:tx>
            <c:strRef>
              <c:f>'poivot table'!$D$14</c:f>
              <c:strCache>
                <c:ptCount val="1"/>
                <c:pt idx="0">
                  <c:v>margin</c:v>
                </c:pt>
              </c:strCache>
            </c:strRef>
          </c:tx>
          <c:spPr>
            <a:ln w="28575" cap="rnd">
              <a:solidFill>
                <a:schemeClr val="accent5">
                  <a:lumMod val="50000"/>
                </a:schemeClr>
              </a:solidFill>
              <a:round/>
            </a:ln>
            <a:effectLst/>
          </c:spPr>
          <c:marker>
            <c:symbol val="none"/>
          </c:marker>
          <c:dPt>
            <c:idx val="1"/>
            <c:marker>
              <c:symbol val="none"/>
            </c:marker>
            <c:bubble3D val="0"/>
            <c:extLst>
              <c:ext xmlns:c16="http://schemas.microsoft.com/office/drawing/2014/chart" uri="{C3380CC4-5D6E-409C-BE32-E72D297353CC}">
                <c16:uniqueId val="{00000002-9B1E-4739-9046-C7731AAB2B10}"/>
              </c:ext>
            </c:extLst>
          </c:dPt>
          <c:dPt>
            <c:idx val="2"/>
            <c:marker>
              <c:symbol val="none"/>
            </c:marker>
            <c:bubble3D val="0"/>
            <c:extLst>
              <c:ext xmlns:c16="http://schemas.microsoft.com/office/drawing/2014/chart" uri="{C3380CC4-5D6E-409C-BE32-E72D297353CC}">
                <c16:uniqueId val="{00000003-9B1E-4739-9046-C7731AAB2B10}"/>
              </c:ext>
            </c:extLst>
          </c:dPt>
          <c:dLbls>
            <c:dLbl>
              <c:idx val="1"/>
              <c:layout>
                <c:manualLayout>
                  <c:x val="-1.6942305225189302E-2"/>
                  <c:y val="-6.73242779257108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B1E-4739-9046-C7731AAB2B10}"/>
                </c:ext>
              </c:extLst>
            </c:dLbl>
            <c:dLbl>
              <c:idx val="2"/>
              <c:layout>
                <c:manualLayout>
                  <c:x val="-1.6942305225189355E-2"/>
                  <c:y val="-3.62515342676905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1E-4739-9046-C7731AAB2B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'poivot table'!$B$15:$B$19</c:f>
              <c:strCache>
                <c:ptCount val="4"/>
                <c:pt idx="0">
                  <c:v>Air Conditioners</c:v>
                </c:pt>
                <c:pt idx="1">
                  <c:v>Home Appliances</c:v>
                </c:pt>
                <c:pt idx="2">
                  <c:v>Laptops</c:v>
                </c:pt>
                <c:pt idx="3">
                  <c:v>Mobiles</c:v>
                </c:pt>
              </c:strCache>
            </c:strRef>
          </c:cat>
          <c:val>
            <c:numRef>
              <c:f>'poivot table'!$D$15:$D$19</c:f>
              <c:numCache>
                <c:formatCode>0.00%;\-0.00%;0.00%</c:formatCode>
                <c:ptCount val="4"/>
                <c:pt idx="0">
                  <c:v>0.18243592364994807</c:v>
                </c:pt>
                <c:pt idx="1">
                  <c:v>0.14944216572178304</c:v>
                </c:pt>
                <c:pt idx="2">
                  <c:v>0.17254915159868198</c:v>
                </c:pt>
                <c:pt idx="3">
                  <c:v>0.20337299928942781</c:v>
                </c:pt>
              </c:numCache>
            </c:numRef>
          </c:val>
          <c:smooth val="0"/>
          <c:extLst>
            <c:ext xmlns:c16="http://schemas.microsoft.com/office/drawing/2014/chart" uri="{C3380CC4-5D6E-409C-BE32-E72D297353CC}">
              <c16:uniqueId val="{00000001-9B1E-4739-9046-C7731AAB2B10}"/>
            </c:ext>
          </c:extLst>
        </c:ser>
        <c:dLbls>
          <c:showLegendKey val="0"/>
          <c:showVal val="1"/>
          <c:showCatName val="0"/>
          <c:showSerName val="0"/>
          <c:showPercent val="0"/>
          <c:showBubbleSize val="0"/>
        </c:dLbls>
        <c:marker val="1"/>
        <c:smooth val="0"/>
        <c:axId val="1305120352"/>
        <c:axId val="1305119992"/>
      </c:lineChart>
      <c:catAx>
        <c:axId val="1305121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305116392"/>
        <c:crosses val="autoZero"/>
        <c:auto val="1"/>
        <c:lblAlgn val="ctr"/>
        <c:lblOffset val="100"/>
        <c:noMultiLvlLbl val="0"/>
      </c:catAx>
      <c:valAx>
        <c:axId val="1305116392"/>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121432"/>
        <c:crosses val="autoZero"/>
        <c:crossBetween val="between"/>
      </c:valAx>
      <c:valAx>
        <c:axId val="1305119992"/>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120352"/>
        <c:crosses val="max"/>
        <c:crossBetween val="between"/>
      </c:valAx>
      <c:catAx>
        <c:axId val="1305120352"/>
        <c:scaling>
          <c:orientation val="minMax"/>
        </c:scaling>
        <c:delete val="1"/>
        <c:axPos val="b"/>
        <c:numFmt formatCode="General" sourceLinked="1"/>
        <c:majorTickMark val="out"/>
        <c:minorTickMark val="none"/>
        <c:tickLblPos val="nextTo"/>
        <c:crossAx val="1305119992"/>
        <c:crosses val="autoZero"/>
        <c:auto val="1"/>
        <c:lblAlgn val="ctr"/>
        <c:lblOffset val="100"/>
        <c:noMultiLvlLbl val="0"/>
      </c:catAx>
      <c:spPr>
        <a:noFill/>
        <a:ln w="25400">
          <a:noFill/>
        </a:ln>
        <a:effectLst/>
      </c:spPr>
    </c:plotArea>
    <c:legend>
      <c:legendPos val="t"/>
      <c:layout>
        <c:manualLayout>
          <c:xMode val="edge"/>
          <c:yMode val="edge"/>
          <c:x val="0.57310366059502693"/>
          <c:y val="0.89639686662779172"/>
          <c:w val="0.39989019832926775"/>
          <c:h val="9.9928230933283305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[workshop.xlsx]poivot table!PivotTable1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Top 10 countries of net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pivotFmt>
    </c:pivotFmts>
    <c:plotArea>
      <c:layout>
        <c:manualLayout>
          <c:layoutTarget val="inner"/>
          <c:xMode val="edge"/>
          <c:yMode val="edge"/>
          <c:x val="0.18739082748555294"/>
          <c:y val="0.13591938936230363"/>
          <c:w val="0.78056955729488109"/>
          <c:h val="0.85141869117118507"/>
        </c:manualLayout>
      </c:layout>
      <c:barChart>
        <c:barDir val="bar"/>
        <c:grouping val="clustered"/>
        <c:varyColors val="0"/>
        <c:ser>
          <c:idx val="0"/>
          <c:order val="0"/>
          <c:tx>
            <c:strRef>
              <c:f>'poivot table'!$P$19</c:f>
              <c:strCache>
                <c:ptCount val="1"/>
                <c:pt idx="0">
                  <c:v>Total</c:v>
                </c:pt>
              </c:strCache>
            </c:strRef>
          </c:tx>
          <c:spPr>
            <a:solidFill>
              <a:schemeClr val="accent1"/>
            </a:solidFill>
            <a:ln>
              <a:noFill/>
            </a:ln>
            <a:effectLst/>
          </c:spPr>
          <c:invertIfNegative val="0"/>
          <c:dPt>
            <c:idx val="9"/>
            <c:invertIfNegative val="0"/>
            <c:bubble3D val="0"/>
            <c:spPr>
              <a:solidFill>
                <a:srgbClr val="00B050"/>
              </a:solidFill>
              <a:ln>
                <a:noFill/>
              </a:ln>
              <a:effectLst/>
            </c:spPr>
            <c:extLst>
              <c:ext xmlns:c16="http://schemas.microsoft.com/office/drawing/2014/chart" uri="{C3380CC4-5D6E-409C-BE32-E72D297353CC}">
                <c16:uniqueId val="{00000001-3F0A-4056-A1D2-793590A04D74}"/>
              </c:ext>
            </c:extLst>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'poivot table'!$O$20:$O$30</c:f>
              <c:strCache>
                <c:ptCount val="10"/>
                <c:pt idx="0">
                  <c:v>Syria</c:v>
                </c:pt>
                <c:pt idx="1">
                  <c:v>Indonesia</c:v>
                </c:pt>
                <c:pt idx="2">
                  <c:v>Malaysia</c:v>
                </c:pt>
                <c:pt idx="3">
                  <c:v>Turkey</c:v>
                </c:pt>
                <c:pt idx="4">
                  <c:v>Palestine</c:v>
                </c:pt>
                <c:pt idx="5">
                  <c:v>Sudan</c:v>
                </c:pt>
                <c:pt idx="6">
                  <c:v>Saudi Arabia</c:v>
                </c:pt>
                <c:pt idx="7">
                  <c:v>Libya</c:v>
                </c:pt>
                <c:pt idx="8">
                  <c:v>Kenya</c:v>
                </c:pt>
                <c:pt idx="9">
                  <c:v>Egypt</c:v>
                </c:pt>
              </c:strCache>
            </c:strRef>
          </c:cat>
          <c:val>
            <c:numRef>
              <c:f>'poivot table'!$P$20:$P$30</c:f>
              <c:numCache>
                <c:formatCode>#,##0</c:formatCode>
                <c:ptCount val="10"/>
                <c:pt idx="0">
                  <c:v>11882375</c:v>
                </c:pt>
                <c:pt idx="1">
                  <c:v>12610070</c:v>
                </c:pt>
                <c:pt idx="2">
                  <c:v>13262486</c:v>
                </c:pt>
                <c:pt idx="3">
                  <c:v>14516552</c:v>
                </c:pt>
                <c:pt idx="4">
                  <c:v>19276593</c:v>
                </c:pt>
                <c:pt idx="5">
                  <c:v>19382853</c:v>
                </c:pt>
                <c:pt idx="6">
                  <c:v>19390961</c:v>
                </c:pt>
                <c:pt idx="7">
                  <c:v>22710111</c:v>
                </c:pt>
                <c:pt idx="8">
                  <c:v>27550545</c:v>
                </c:pt>
                <c:pt idx="9">
                  <c:v>101669035</c:v>
                </c:pt>
              </c:numCache>
            </c:numRef>
          </c:val>
          <c:extLst>
            <c:ext xmlns:c16="http://schemas.microsoft.com/office/drawing/2014/chart" uri="{C3380CC4-5D6E-409C-BE32-E72D297353CC}">
              <c16:uniqueId val="{00000000-3F0A-4056-A1D2-793590A04D74}"/>
            </c:ext>
          </c:extLst>
        </c:ser>
        <c:dLbls>
          <c:dLblPos val="outEnd"/>
          <c:showLegendKey val="0"/>
          <c:showVal val="1"/>
          <c:showCatName val="0"/>
          <c:showSerName val="0"/>
          <c:showPercent val="0"/>
          <c:showBubbleSize val="0"/>
        </c:dLbls>
        <c:gapWidth val="182"/>
        <c:axId val="480059456"/>
        <c:axId val="480065576"/>
      </c:barChart>
      <c:catAx>
        <c:axId val="480059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80065576"/>
        <c:crosses val="autoZero"/>
        <c:auto val="1"/>
        <c:lblAlgn val="ctr"/>
        <c:lblOffset val="100"/>
        <c:noMultiLvlLbl val="0"/>
      </c:catAx>
      <c:valAx>
        <c:axId val="480065576"/>
        <c:scaling>
          <c:orientation val="minMax"/>
        </c:scaling>
        <c:delete val="1"/>
        <c:axPos val="b"/>
        <c:numFmt formatCode="#,##0" sourceLinked="1"/>
        <c:majorTickMark val="out"/>
        <c:minorTickMark val="none"/>
        <c:tickLblPos val="nextTo"/>
        <c:crossAx val="48005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[workshop.xlsx]poivot table!Growth</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Net Revenue &amp; Growth by Year </a:t>
            </a:r>
            <a:endParaRPr lang="en-US"/>
          </a:p>
        </c:rich>
      </c:tx>
      <c:layout>
        <c:manualLayout>
          <c:xMode val="edge"/>
          <c:yMode val="edge"/>
          <c:x val="0.24590597302291103"/>
          <c:y val="7.10509952733904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002060"/>
            </a:solidFill>
            <a:round/>
          </a:ln>
          <a:effectLst/>
        </c:spPr>
        <c:marker>
          <c:symbol val="none"/>
        </c:marker>
        <c:dLbl>
          <c:idx val="0"/>
          <c:layout>
            <c:manualLayout>
              <c:x val="-5.5964796497951254E-2"/>
              <c:y val="1.772478568813958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A8B2EAD-2D7E-402D-9141-D446AD5EFDDE}" type="VALUE">
                  <a:rPr lang="en-US" baseline="0">
                    <a:solidFill>
                      <a:srgbClr val="C00000"/>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ln w="28575" cap="rnd">
            <a:solidFill>
              <a:srgbClr val="002060"/>
            </a:solidFill>
            <a:round/>
          </a:ln>
          <a:effectLst/>
        </c:spPr>
        <c:marker>
          <c:symbol val="none"/>
        </c:marker>
        <c:dLbl>
          <c:idx val="0"/>
          <c:layout>
            <c:manualLayout>
              <c:x val="-6.4482831291057016E-2"/>
              <c:y val="0.10400099423439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lumMod val="75000"/>
              </a:schemeClr>
            </a:solidFill>
            <a:round/>
          </a:ln>
          <a:effectLst/>
        </c:spPr>
        <c:marker>
          <c:symbol val="none"/>
        </c:marker>
      </c:pivotFmt>
      <c:pivotFmt>
        <c:idx val="13"/>
        <c:dLbl>
          <c:idx val="0"/>
          <c:layout>
            <c:manualLayout>
              <c:x val="0"/>
              <c:y val="-4.0600568727651706E-2"/>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50247804669839"/>
          <c:y val="0.20827331099573854"/>
          <c:w val="0.75836974335717622"/>
          <c:h val="0.56268498597046945"/>
        </c:manualLayout>
      </c:layout>
      <c:barChart>
        <c:barDir val="col"/>
        <c:grouping val="clustered"/>
        <c:varyColors val="0"/>
        <c:ser>
          <c:idx val="0"/>
          <c:order val="0"/>
          <c:tx>
            <c:strRef>
              <c:f>'poivot table'!$C$6</c:f>
              <c:strCache>
                <c:ptCount val="1"/>
                <c:pt idx="0">
                  <c:v>total net</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'poivot table'!$B$7:$B$11</c:f>
              <c:strCache>
                <c:ptCount val="4"/>
                <c:pt idx="0">
                  <c:v>2019</c:v>
                </c:pt>
                <c:pt idx="1">
                  <c:v>2020</c:v>
                </c:pt>
                <c:pt idx="2">
                  <c:v>2021</c:v>
                </c:pt>
                <c:pt idx="3">
                  <c:v>2022</c:v>
                </c:pt>
              </c:strCache>
            </c:strRef>
          </c:cat>
          <c:val>
            <c:numRef>
              <c:f>'poivot table'!$C$7:$C$11</c:f>
              <c:numCache>
                <c:formatCode>#,##0</c:formatCode>
                <c:ptCount val="4"/>
                <c:pt idx="0">
                  <c:v>71362809</c:v>
                </c:pt>
                <c:pt idx="1">
                  <c:v>85420938</c:v>
                </c:pt>
                <c:pt idx="2">
                  <c:v>83202624</c:v>
                </c:pt>
                <c:pt idx="3">
                  <c:v>100869948</c:v>
                </c:pt>
              </c:numCache>
            </c:numRef>
          </c:val>
          <c:extLst>
            <c:ext xmlns:c16="http://schemas.microsoft.com/office/drawing/2014/chart" uri="{C3380CC4-5D6E-409C-BE32-E72D297353CC}">
              <c16:uniqueId val="{00000000-5F35-462D-AF4A-78FE751CE198}"/>
            </c:ext>
          </c:extLst>
        </c:ser>
        <c:dLbls>
          <c:showLegendKey val="0"/>
          <c:showVal val="1"/>
          <c:showCatName val="0"/>
          <c:showSerName val="0"/>
          <c:showPercent val="0"/>
          <c:showBubbleSize val="0"/>
        </c:dLbls>
        <c:gapWidth val="219"/>
        <c:axId val="1292398712"/>
        <c:axId val="1292399072"/>
      </c:barChart>
      <c:lineChart>
        <c:grouping val="standard"/>
        <c:varyColors val="0"/>
        <c:ser>
          <c:idx val="1"/>
          <c:order val="1"/>
          <c:tx>
            <c:strRef>
              <c:f>'poivot table'!$D$6</c:f>
              <c:strCache>
                <c:ptCount val="1"/>
                <c:pt idx="0">
                  <c:v>Growth</c:v>
                </c:pt>
              </c:strCache>
            </c:strRef>
          </c:tx>
          <c:spPr>
            <a:ln w="28575" cap="rnd">
              <a:solidFill>
                <a:srgbClr val="002060"/>
              </a:solidFill>
              <a:round/>
            </a:ln>
            <a:effectLst/>
          </c:spPr>
          <c:marker>
            <c:symbol val="none"/>
          </c:marker>
          <c:dPt>
            <c:idx val="1"/>
            <c:marker>
              <c:symbol val="none"/>
            </c:marker>
            <c:bubble3D val="0"/>
            <c:extLst>
              <c:ext xmlns:c16="http://schemas.microsoft.com/office/drawing/2014/chart" uri="{C3380CC4-5D6E-409C-BE32-E72D297353CC}">
                <c16:uniqueId val="{00000003-5F35-462D-AF4A-78FE751CE198}"/>
              </c:ext>
            </c:extLst>
          </c:dPt>
          <c:dPt>
            <c:idx val="2"/>
            <c:marker>
              <c:symbol val="none"/>
            </c:marker>
            <c:bubble3D val="0"/>
            <c:extLst>
              <c:ext xmlns:c16="http://schemas.microsoft.com/office/drawing/2014/chart" uri="{C3380CC4-5D6E-409C-BE32-E72D297353CC}">
                <c16:uniqueId val="{00000002-5F35-462D-AF4A-78FE751CE198}"/>
              </c:ext>
            </c:extLst>
          </c:dPt>
          <c:dPt>
            <c:idx val="3"/>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4-5F35-462D-AF4A-78FE751CE198}"/>
              </c:ext>
            </c:extLst>
          </c:dPt>
          <c:dLbls>
            <c:dLbl>
              <c:idx val="1"/>
              <c:layout>
                <c:manualLayout>
                  <c:x val="-6.4482831291057016E-2"/>
                  <c:y val="0.104000994234399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35-462D-AF4A-78FE751CE198}"/>
                </c:ext>
              </c:extLst>
            </c:dLbl>
            <c:dLbl>
              <c:idx val="2"/>
              <c:layout>
                <c:manualLayout>
                  <c:x val="-5.5964796497951254E-2"/>
                  <c:y val="1.7724785688139587E-2"/>
                </c:manualLayout>
              </c:layout>
              <c:tx>
                <c:rich>
                  <a:bodyPr/>
                  <a:lstStyle/>
                  <a:p>
                    <a:fld id="{2A8B2EAD-2D7E-402D-9141-D446AD5EFDDE}" type="VALUE">
                      <a:rPr lang="en-US" baseline="0">
                        <a:solidFill>
                          <a:srgbClr val="C00000"/>
                        </a:solidFill>
                      </a:rPr>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F35-462D-AF4A-78FE751CE1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'poivot table'!$B$7:$B$11</c:f>
              <c:strCache>
                <c:ptCount val="4"/>
                <c:pt idx="0">
                  <c:v>2019</c:v>
                </c:pt>
                <c:pt idx="1">
                  <c:v>2020</c:v>
                </c:pt>
                <c:pt idx="2">
                  <c:v>2021</c:v>
                </c:pt>
                <c:pt idx="3">
                  <c:v>2022</c:v>
                </c:pt>
              </c:strCache>
            </c:strRef>
          </c:cat>
          <c:val>
            <c:numRef>
              <c:f>'poivot table'!$D$7:$D$11</c:f>
              <c:numCache>
                <c:formatCode>0.00%;\-0.00%;0.00%</c:formatCode>
                <c:ptCount val="4"/>
                <c:pt idx="1">
                  <c:v>0.19699517433513583</c:v>
                </c:pt>
                <c:pt idx="2">
                  <c:v>-2.5969206753501114E-2</c:v>
                </c:pt>
                <c:pt idx="3">
                  <c:v>0.21234094732396902</c:v>
                </c:pt>
              </c:numCache>
            </c:numRef>
          </c:val>
          <c:smooth val="0"/>
          <c:extLst>
            <c:ext xmlns:c16="http://schemas.microsoft.com/office/drawing/2014/chart" uri="{C3380CC4-5D6E-409C-BE32-E72D297353CC}">
              <c16:uniqueId val="{00000001-5F35-462D-AF4A-78FE751CE198}"/>
            </c:ext>
          </c:extLst>
        </c:ser>
        <c:dLbls>
          <c:showLegendKey val="0"/>
          <c:showVal val="1"/>
          <c:showCatName val="0"/>
          <c:showSerName val="0"/>
          <c:showPercent val="0"/>
          <c:showBubbleSize val="0"/>
        </c:dLbls>
        <c:marker val="1"/>
        <c:smooth val="0"/>
        <c:axId val="55150695"/>
        <c:axId val="818659960"/>
      </c:lineChart>
      <c:catAx>
        <c:axId val="1292398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92399072"/>
        <c:crosses val="autoZero"/>
        <c:auto val="1"/>
        <c:lblAlgn val="ctr"/>
        <c:lblOffset val="100"/>
        <c:noMultiLvlLbl val="0"/>
      </c:catAx>
      <c:valAx>
        <c:axId val="1292399072"/>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398712"/>
        <c:crosses val="autoZero"/>
        <c:crossBetween val="between"/>
      </c:valAx>
      <c:valAx>
        <c:axId val="818659960"/>
        <c:scaling>
          <c:orientation val="minMax"/>
        </c:scaling>
        <c:delete val="0"/>
        <c:axPos val="r"/>
        <c:numFmt formatCode="0.00%;\-0.00%;0.00%"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55150695"/>
        <c:crosses val="max"/>
        <c:crossBetween val="between"/>
      </c:valAx>
      <c:catAx>
        <c:axId val="55150695"/>
        <c:scaling>
          <c:orientation val="minMax"/>
        </c:scaling>
        <c:delete val="1"/>
        <c:axPos val="b"/>
        <c:numFmt formatCode="General" sourceLinked="1"/>
        <c:majorTickMark val="out"/>
        <c:minorTickMark val="none"/>
        <c:tickLblPos val="nextTo"/>
        <c:crossAx val="818659960"/>
        <c:crosses val="autoZero"/>
        <c:auto val="1"/>
        <c:lblAlgn val="ctr"/>
        <c:lblOffset val="100"/>
        <c:noMultiLvlLbl val="0"/>
      </c:catAx>
      <c:spPr>
        <a:noFill/>
        <a:ln>
          <a:noFill/>
        </a:ln>
        <a:effectLst/>
      </c:spPr>
    </c:plotArea>
    <c:legend>
      <c:legendPos val="b"/>
      <c:layout>
        <c:manualLayout>
          <c:xMode val="edge"/>
          <c:yMode val="edge"/>
          <c:x val="0.58751771220679538"/>
          <c:y val="0.89800425826437369"/>
          <c:w val="0.41248221060555273"/>
          <c:h val="9.7926893401128812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[workshop.xlsx]poivot table!Customer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of the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circle"/>
          <c:size val="5"/>
          <c:spPr>
            <a:solidFill>
              <a:schemeClr val="accent1"/>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'poivot table'!$K$7</c:f>
              <c:strCache>
                <c:ptCount val="1"/>
                <c:pt idx="0">
                  <c:v>Total</c:v>
                </c:pt>
              </c:strCache>
            </c:strRef>
          </c:tx>
          <c:spPr>
            <a:ln w="28575" cap="rnd">
              <a:solidFill>
                <a:schemeClr val="accent5">
                  <a:lumMod val="50000"/>
                </a:schemeClr>
              </a:solidFill>
              <a:round/>
            </a:ln>
            <a:effectLst/>
          </c:spPr>
          <c:marker>
            <c:symbol val="circle"/>
            <c:size val="5"/>
            <c:spPr>
              <a:solidFill>
                <a:schemeClr val="accent1"/>
              </a:solidFill>
              <a:ln w="9525">
                <a:solidFill>
                  <a:schemeClr val="accent5">
                    <a:lumMod val="50000"/>
                  </a:schemeClr>
                </a:solidFill>
              </a:ln>
              <a:effectLst/>
            </c:spPr>
          </c:marker>
          <c:cat>
            <c:strRef>
              <c:f>'poivot table'!$J$8:$J$20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'poivot table'!$K$8:$K$20</c:f>
              <c:numCache>
                <c:formatCode>#,##0</c:formatCode>
                <c:ptCount val="12"/>
                <c:pt idx="0">
                  <c:v>44800343</c:v>
                </c:pt>
                <c:pt idx="1">
                  <c:v>32131424</c:v>
                </c:pt>
                <c:pt idx="2">
                  <c:v>30968111</c:v>
                </c:pt>
                <c:pt idx="3">
                  <c:v>23388362</c:v>
                </c:pt>
                <c:pt idx="4">
                  <c:v>21849338</c:v>
                </c:pt>
                <c:pt idx="5">
                  <c:v>26847754</c:v>
                </c:pt>
                <c:pt idx="6">
                  <c:v>24751767</c:v>
                </c:pt>
                <c:pt idx="7">
                  <c:v>26160130</c:v>
                </c:pt>
                <c:pt idx="8">
                  <c:v>25264517</c:v>
                </c:pt>
                <c:pt idx="9">
                  <c:v>27232932</c:v>
                </c:pt>
                <c:pt idx="10">
                  <c:v>27605449</c:v>
                </c:pt>
                <c:pt idx="11">
                  <c:v>29856192</c:v>
                </c:pt>
              </c:numCache>
            </c:numRef>
          </c:val>
          <c:smooth val="0"/>
          <c:extLst>
            <c:ext xmlns:c16="http://schemas.microsoft.com/office/drawing/2014/chart" uri="{C3380CC4-5D6E-409C-BE32-E72D297353CC}">
              <c16:uniqueId val="{00000000-7B56-47E1-8476-16C20D7DDEB5}"/>
            </c:ext>
          </c:extLst>
        </c:ser>
        <c:dLbls>
          <c:showLegendKey val="0"/>
          <c:showVal val="0"/>
          <c:showCatName val="0"/>
          <c:showSerName val="0"/>
          <c:showPercent val="0"/>
          <c:showBubbleSize val="0"/>
        </c:dLbls>
        <c:marker val="1"/>
        <c:smooth val="0"/>
        <c:axId val="550777504"/>
        <c:axId val="550776784"/>
      </c:lineChart>
      <c:catAx>
        <c:axId val="55077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76784"/>
        <c:crosses val="autoZero"/>
        <c:auto val="1"/>
        <c:lblAlgn val="ctr"/>
        <c:lblOffset val="100"/>
        <c:noMultiLvlLbl val="0"/>
      </c:catAx>
      <c:valAx>
        <c:axId val="550776784"/>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7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325965</xdr:colOff>
      <xdr:row>1</xdr:row>
      <xdr:rowOff>1</xdr:rowOff>
    </xdr:from>
    <xdr:to>
      <xdr:col>17</xdr:col>
      <xdr:colOff>390525</xdr:colOff>
      <xdr:row>40</xdr:row>
      <xdr:rowOff>47625</xdr:rowOff>
    </xdr:to>
    <xdr:sp macro="" textlink="">
      <xdr:nvSpPr>
        <xdr:cNvPr id="2" name="Rectangle: Rounded Corners 1">
          <a:extLst>
            <a:ext uri="{FF2B5EF4-FFF2-40B4-BE49-F238E27FC236}">
              <a16:creationId xmlns:a16="http://schemas.microsoft.com/office/drawing/2014/main" id="{D865935C-F2FB-4FB6-A67C-29F85B8CD8F5}"/>
            </a:ext>
          </a:extLst>
        </xdr:cNvPr>
        <xdr:cNvSpPr/>
      </xdr:nvSpPr>
      <xdr:spPr>
        <a:xfrm>
          <a:off x="325965" y="190501"/>
          <a:ext cx="12237510" cy="7715249"/>
        </a:xfrm>
        <a:prstGeom prst="roundRect">
          <a:avLst/>
        </a:prstGeom>
        <a:effectLst>
          <a:glow rad="139700">
            <a:schemeClr val="accent1">
              <a:satMod val="175000"/>
              <a:alpha val="40000"/>
            </a:schemeClr>
          </a:glow>
        </a:effectLst>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447676</xdr:colOff>
      <xdr:row>2</xdr:row>
      <xdr:rowOff>161926</xdr:rowOff>
    </xdr:from>
    <xdr:to>
      <xdr:col>16</xdr:col>
      <xdr:colOff>333376</xdr:colOff>
      <xdr:row>4</xdr:row>
      <xdr:rowOff>57151</xdr:rowOff>
    </xdr:to>
    <xdr:sp macro="" textlink="">
      <xdr:nvSpPr>
        <xdr:cNvPr id="5" name="Rectangle 4">
          <a:extLst>
            <a:ext uri="{FF2B5EF4-FFF2-40B4-BE49-F238E27FC236}">
              <a16:creationId xmlns:a16="http://schemas.microsoft.com/office/drawing/2014/main" id="{11DCC0A7-26C4-46FB-9720-9FF52B27F035}"/>
            </a:ext>
          </a:extLst>
        </xdr:cNvPr>
        <xdr:cNvSpPr/>
      </xdr:nvSpPr>
      <xdr:spPr>
        <a:xfrm>
          <a:off x="1057276" y="542926"/>
          <a:ext cx="10839450" cy="514350"/>
        </a:xfrm>
        <a:prstGeom prst="rect">
          <a:avLst/>
        </a:prstGeom>
        <a:effectLst>
          <a:outerShdw blurRad="57150" dist="19050" dir="5400000" algn="ctr" rotWithShape="0">
            <a:srgbClr val="000000">
              <a:alpha val="63000"/>
            </a:srgb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US" sz="2400" kern="1200"/>
            <a:t>sales</a:t>
          </a:r>
          <a:r>
            <a:rPr lang="en-US" sz="2400" kern="1200" baseline="0"/>
            <a:t> dashboard</a:t>
          </a:r>
          <a:endParaRPr lang="en-US" sz="2400" kern="1200"/>
        </a:p>
      </xdr:txBody>
    </xdr:sp>
    <xdr:clientData/>
  </xdr:twoCellAnchor>
  <xdr:twoCellAnchor>
    <xdr:from>
      <xdr:col>6</xdr:col>
      <xdr:colOff>685799</xdr:colOff>
      <xdr:row>5</xdr:row>
      <xdr:rowOff>161924</xdr:rowOff>
    </xdr:from>
    <xdr:to>
      <xdr:col>6</xdr:col>
      <xdr:colOff>2276474</xdr:colOff>
      <xdr:row>9</xdr:row>
      <xdr:rowOff>161924</xdr:rowOff>
    </xdr:to>
    <xdr:sp macro="" textlink="">
      <xdr:nvSpPr>
        <xdr:cNvPr id="6" name="Rectangle: Rounded Corners 5">
          <a:extLst>
            <a:ext uri="{FF2B5EF4-FFF2-40B4-BE49-F238E27FC236}">
              <a16:creationId xmlns:a16="http://schemas.microsoft.com/office/drawing/2014/main" id="{1871C640-F64B-492A-94B1-809C04BA8FB5}"/>
            </a:ext>
          </a:extLst>
        </xdr:cNvPr>
        <xdr:cNvSpPr/>
      </xdr:nvSpPr>
      <xdr:spPr>
        <a:xfrm>
          <a:off x="4343399" y="1352549"/>
          <a:ext cx="1590675" cy="762000"/>
        </a:xfrm>
        <a:prstGeom prst="roundRect">
          <a:avLst/>
        </a:prstGeom>
        <a:ln/>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xdr:from>
      <xdr:col>4</xdr:col>
      <xdr:colOff>47625</xdr:colOff>
      <xdr:row>5</xdr:row>
      <xdr:rowOff>152400</xdr:rowOff>
    </xdr:from>
    <xdr:to>
      <xdr:col>6</xdr:col>
      <xdr:colOff>400050</xdr:colOff>
      <xdr:row>9</xdr:row>
      <xdr:rowOff>180976</xdr:rowOff>
    </xdr:to>
    <xdr:sp macro="" textlink="">
      <xdr:nvSpPr>
        <xdr:cNvPr id="7" name="Rectangle: Rounded Corners 6">
          <a:extLst>
            <a:ext uri="{FF2B5EF4-FFF2-40B4-BE49-F238E27FC236}">
              <a16:creationId xmlns:a16="http://schemas.microsoft.com/office/drawing/2014/main" id="{D42E90CC-AFF2-4A26-B68B-2AC01A49ABE7}"/>
            </a:ext>
          </a:extLst>
        </xdr:cNvPr>
        <xdr:cNvSpPr/>
      </xdr:nvSpPr>
      <xdr:spPr>
        <a:xfrm>
          <a:off x="2486025" y="1343025"/>
          <a:ext cx="1571625" cy="790576"/>
        </a:xfrm>
        <a:prstGeom prst="roundRect">
          <a:avLst/>
        </a:prstGeom>
        <a:ln/>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xdr:from>
      <xdr:col>7</xdr:col>
      <xdr:colOff>85724</xdr:colOff>
      <xdr:row>5</xdr:row>
      <xdr:rowOff>152399</xdr:rowOff>
    </xdr:from>
    <xdr:to>
      <xdr:col>9</xdr:col>
      <xdr:colOff>457199</xdr:colOff>
      <xdr:row>9</xdr:row>
      <xdr:rowOff>152399</xdr:rowOff>
    </xdr:to>
    <xdr:sp macro="" textlink="">
      <xdr:nvSpPr>
        <xdr:cNvPr id="8" name="Rectangle: Rounded Corners 7">
          <a:extLst>
            <a:ext uri="{FF2B5EF4-FFF2-40B4-BE49-F238E27FC236}">
              <a16:creationId xmlns:a16="http://schemas.microsoft.com/office/drawing/2014/main" id="{A1785C86-B244-420B-A3A0-9D610CE2863E}"/>
            </a:ext>
          </a:extLst>
        </xdr:cNvPr>
        <xdr:cNvSpPr/>
      </xdr:nvSpPr>
      <xdr:spPr>
        <a:xfrm>
          <a:off x="6162674" y="1343024"/>
          <a:ext cx="1590675" cy="762000"/>
        </a:xfrm>
        <a:prstGeom prst="roundRect">
          <a:avLst/>
        </a:prstGeom>
        <a:ln/>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171449</xdr:colOff>
      <xdr:row>5</xdr:row>
      <xdr:rowOff>161924</xdr:rowOff>
    </xdr:from>
    <xdr:to>
      <xdr:col>12</xdr:col>
      <xdr:colOff>542924</xdr:colOff>
      <xdr:row>9</xdr:row>
      <xdr:rowOff>161924</xdr:rowOff>
    </xdr:to>
    <xdr:sp macro="" textlink="">
      <xdr:nvSpPr>
        <xdr:cNvPr id="9" name="Rectangle: Rounded Corners 8">
          <a:extLst>
            <a:ext uri="{FF2B5EF4-FFF2-40B4-BE49-F238E27FC236}">
              <a16:creationId xmlns:a16="http://schemas.microsoft.com/office/drawing/2014/main" id="{A08BFE13-082D-4E0A-B276-45A86143A2B1}"/>
            </a:ext>
          </a:extLst>
        </xdr:cNvPr>
        <xdr:cNvSpPr/>
      </xdr:nvSpPr>
      <xdr:spPr>
        <a:xfrm>
          <a:off x="8077199" y="1352549"/>
          <a:ext cx="1590675" cy="762000"/>
        </a:xfrm>
        <a:prstGeom prst="roundRect">
          <a:avLst/>
        </a:prstGeom>
        <a:ln/>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xdr:from>
      <xdr:col>13</xdr:col>
      <xdr:colOff>133349</xdr:colOff>
      <xdr:row>5</xdr:row>
      <xdr:rowOff>161924</xdr:rowOff>
    </xdr:from>
    <xdr:to>
      <xdr:col>15</xdr:col>
      <xdr:colOff>504824</xdr:colOff>
      <xdr:row>9</xdr:row>
      <xdr:rowOff>161924</xdr:rowOff>
    </xdr:to>
    <xdr:sp macro="" textlink="">
      <xdr:nvSpPr>
        <xdr:cNvPr id="10" name="Rectangle: Rounded Corners 9">
          <a:extLst>
            <a:ext uri="{FF2B5EF4-FFF2-40B4-BE49-F238E27FC236}">
              <a16:creationId xmlns:a16="http://schemas.microsoft.com/office/drawing/2014/main" id="{5FC58C13-621E-4EED-BAC3-ECF2DDB66527}"/>
            </a:ext>
          </a:extLst>
        </xdr:cNvPr>
        <xdr:cNvSpPr/>
      </xdr:nvSpPr>
      <xdr:spPr>
        <a:xfrm>
          <a:off x="9867899" y="1352549"/>
          <a:ext cx="1590675" cy="762000"/>
        </a:xfrm>
        <a:prstGeom prst="roundRect">
          <a:avLst/>
        </a:prstGeom>
        <a:ln/>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xdr:from>
      <xdr:col>4</xdr:col>
      <xdr:colOff>85726</xdr:colOff>
      <xdr:row>6</xdr:row>
      <xdr:rowOff>28575</xdr:rowOff>
    </xdr:from>
    <xdr:to>
      <xdr:col>6</xdr:col>
      <xdr:colOff>352426</xdr:colOff>
      <xdr:row>7</xdr:row>
      <xdr:rowOff>85725</xdr:rowOff>
    </xdr:to>
    <xdr:sp macro="" textlink="">
      <xdr:nvSpPr>
        <xdr:cNvPr id="11" name="TextBox 10">
          <a:extLst>
            <a:ext uri="{FF2B5EF4-FFF2-40B4-BE49-F238E27FC236}">
              <a16:creationId xmlns:a16="http://schemas.microsoft.com/office/drawing/2014/main" id="{C98BE242-75C2-4DD6-B0A8-90921C36BAC8}"/>
            </a:ext>
          </a:extLst>
        </xdr:cNvPr>
        <xdr:cNvSpPr txBox="1"/>
      </xdr:nvSpPr>
      <xdr:spPr>
        <a:xfrm>
          <a:off x="2524126" y="1409700"/>
          <a:ext cx="1485900" cy="247650"/>
        </a:xfrm>
        <a:prstGeom prst="rect">
          <a:avLst/>
        </a:prstGeom>
        <a:ln>
          <a:solidFill>
            <a:schemeClr val="bg1">
              <a:lumMod val="65000"/>
            </a:schemeClr>
          </a:solidFill>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pPr algn="ctr"/>
          <a:r>
            <a:rPr lang="en-US" sz="1400" b="1" kern="1200"/>
            <a:t>Total</a:t>
          </a:r>
          <a:r>
            <a:rPr lang="en-US" sz="1100" kern="1200" baseline="0"/>
            <a:t> </a:t>
          </a:r>
          <a:r>
            <a:rPr lang="en-US" sz="1400" b="1" kern="1200" baseline="0"/>
            <a:t>Sales</a:t>
          </a:r>
          <a:endParaRPr lang="en-US" sz="1400" b="1" kern="1200"/>
        </a:p>
      </xdr:txBody>
    </xdr:sp>
    <xdr:clientData/>
  </xdr:twoCellAnchor>
  <xdr:twoCellAnchor>
    <xdr:from>
      <xdr:col>6</xdr:col>
      <xdr:colOff>752476</xdr:colOff>
      <xdr:row>6</xdr:row>
      <xdr:rowOff>28575</xdr:rowOff>
    </xdr:from>
    <xdr:to>
      <xdr:col>6</xdr:col>
      <xdr:colOff>2228850</xdr:colOff>
      <xdr:row>8</xdr:row>
      <xdr:rowOff>0</xdr:rowOff>
    </xdr:to>
    <xdr:sp macro="" textlink="">
      <xdr:nvSpPr>
        <xdr:cNvPr id="12" name="TextBox 11">
          <a:extLst>
            <a:ext uri="{FF2B5EF4-FFF2-40B4-BE49-F238E27FC236}">
              <a16:creationId xmlns:a16="http://schemas.microsoft.com/office/drawing/2014/main" id="{2FF27ECA-4212-4633-8412-D6BF78F9AEDE}"/>
            </a:ext>
          </a:extLst>
        </xdr:cNvPr>
        <xdr:cNvSpPr txBox="1"/>
      </xdr:nvSpPr>
      <xdr:spPr>
        <a:xfrm>
          <a:off x="4410076" y="1409700"/>
          <a:ext cx="1476374" cy="352425"/>
        </a:xfrm>
        <a:prstGeom prst="rect">
          <a:avLst/>
        </a:prstGeom>
        <a:ln>
          <a:solidFill>
            <a:schemeClr val="bg1">
              <a:lumMod val="65000"/>
            </a:schemeClr>
          </a:solidFill>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pPr algn="ctr"/>
          <a:r>
            <a:rPr lang="en-US" sz="1400" b="1" kern="1200"/>
            <a:t>Net</a:t>
          </a:r>
          <a:r>
            <a:rPr lang="en-US" sz="1100" kern="1200"/>
            <a:t> </a:t>
          </a:r>
          <a:r>
            <a:rPr lang="en-US" sz="1400" b="1" i="0" kern="1200">
              <a:solidFill>
                <a:schemeClr val="bg1"/>
              </a:solidFill>
              <a:latin typeface="+mn-lt"/>
              <a:ea typeface="+mn-ea"/>
              <a:cs typeface="+mn-cs"/>
            </a:rPr>
            <a:t>Sales</a:t>
          </a:r>
          <a:r>
            <a:rPr lang="en-US" sz="1100" kern="1200"/>
            <a:t> </a:t>
          </a:r>
          <a:r>
            <a:rPr lang="en-US" sz="1400" b="1" kern="1200"/>
            <a:t>amount</a:t>
          </a:r>
        </a:p>
      </xdr:txBody>
    </xdr:sp>
    <xdr:clientData/>
  </xdr:twoCellAnchor>
  <xdr:twoCellAnchor>
    <xdr:from>
      <xdr:col>7</xdr:col>
      <xdr:colOff>104775</xdr:colOff>
      <xdr:row>6</xdr:row>
      <xdr:rowOff>19049</xdr:rowOff>
    </xdr:from>
    <xdr:to>
      <xdr:col>9</xdr:col>
      <xdr:colOff>400050</xdr:colOff>
      <xdr:row>7</xdr:row>
      <xdr:rowOff>161924</xdr:rowOff>
    </xdr:to>
    <xdr:sp macro="" textlink="">
      <xdr:nvSpPr>
        <xdr:cNvPr id="13" name="TextBox 12">
          <a:extLst>
            <a:ext uri="{FF2B5EF4-FFF2-40B4-BE49-F238E27FC236}">
              <a16:creationId xmlns:a16="http://schemas.microsoft.com/office/drawing/2014/main" id="{D205DA8C-CA88-4201-AB8C-D269A1FBAB24}"/>
            </a:ext>
          </a:extLst>
        </xdr:cNvPr>
        <xdr:cNvSpPr txBox="1"/>
      </xdr:nvSpPr>
      <xdr:spPr>
        <a:xfrm>
          <a:off x="6181725" y="1400174"/>
          <a:ext cx="1514475" cy="333375"/>
        </a:xfrm>
        <a:prstGeom prst="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US" sz="1400" b="1" kern="1200"/>
            <a:t>Profit</a:t>
          </a:r>
        </a:p>
      </xdr:txBody>
    </xdr:sp>
    <xdr:clientData/>
  </xdr:twoCellAnchor>
  <xdr:twoCellAnchor>
    <xdr:from>
      <xdr:col>10</xdr:col>
      <xdr:colOff>200025</xdr:colOff>
      <xdr:row>6</xdr:row>
      <xdr:rowOff>38100</xdr:rowOff>
    </xdr:from>
    <xdr:to>
      <xdr:col>12</xdr:col>
      <xdr:colOff>523875</xdr:colOff>
      <xdr:row>7</xdr:row>
      <xdr:rowOff>180975</xdr:rowOff>
    </xdr:to>
    <xdr:sp macro="" textlink="">
      <xdr:nvSpPr>
        <xdr:cNvPr id="14" name="TextBox 13">
          <a:extLst>
            <a:ext uri="{FF2B5EF4-FFF2-40B4-BE49-F238E27FC236}">
              <a16:creationId xmlns:a16="http://schemas.microsoft.com/office/drawing/2014/main" id="{3E00A6BB-D601-4BEF-B0E9-DDC867004287}"/>
            </a:ext>
          </a:extLst>
        </xdr:cNvPr>
        <xdr:cNvSpPr txBox="1"/>
      </xdr:nvSpPr>
      <xdr:spPr>
        <a:xfrm>
          <a:off x="8105775" y="1419225"/>
          <a:ext cx="1543050" cy="333375"/>
        </a:xfrm>
        <a:prstGeom prst="rect">
          <a:avLst/>
        </a:prstGeom>
        <a:ln>
          <a:solidFill>
            <a:schemeClr val="bg1">
              <a:lumMod val="65000"/>
            </a:schemeClr>
          </a:solidFill>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pPr algn="ctr"/>
          <a:r>
            <a:rPr lang="en-US" sz="1400" b="1" kern="1200"/>
            <a:t>Margin</a:t>
          </a:r>
        </a:p>
      </xdr:txBody>
    </xdr:sp>
    <xdr:clientData/>
  </xdr:twoCellAnchor>
  <xdr:twoCellAnchor>
    <xdr:from>
      <xdr:col>13</xdr:col>
      <xdr:colOff>180975</xdr:colOff>
      <xdr:row>6</xdr:row>
      <xdr:rowOff>47625</xdr:rowOff>
    </xdr:from>
    <xdr:to>
      <xdr:col>15</xdr:col>
      <xdr:colOff>495300</xdr:colOff>
      <xdr:row>8</xdr:row>
      <xdr:rowOff>66675</xdr:rowOff>
    </xdr:to>
    <xdr:sp macro="" textlink="">
      <xdr:nvSpPr>
        <xdr:cNvPr id="15" name="TextBox 14">
          <a:extLst>
            <a:ext uri="{FF2B5EF4-FFF2-40B4-BE49-F238E27FC236}">
              <a16:creationId xmlns:a16="http://schemas.microsoft.com/office/drawing/2014/main" id="{A2C03724-5C3D-4A0A-882E-E1605DE7B879}"/>
            </a:ext>
          </a:extLst>
        </xdr:cNvPr>
        <xdr:cNvSpPr txBox="1"/>
      </xdr:nvSpPr>
      <xdr:spPr>
        <a:xfrm>
          <a:off x="9915525" y="1428750"/>
          <a:ext cx="1533525" cy="400050"/>
        </a:xfrm>
        <a:prstGeom prst="rect">
          <a:avLst/>
        </a:prstGeom>
        <a:ln>
          <a:solidFill>
            <a:schemeClr val="bg1">
              <a:lumMod val="65000"/>
            </a:schemeClr>
          </a:solidFill>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pPr algn="ctr"/>
          <a:r>
            <a:rPr lang="en-US" sz="1400" b="1" i="0" kern="1200"/>
            <a:t>Growth</a:t>
          </a:r>
        </a:p>
      </xdr:txBody>
    </xdr:sp>
    <xdr:clientData/>
  </xdr:twoCellAnchor>
  <xdr:twoCellAnchor>
    <xdr:from>
      <xdr:col>6</xdr:col>
      <xdr:colOff>773906</xdr:colOff>
      <xdr:row>7</xdr:row>
      <xdr:rowOff>154781</xdr:rowOff>
    </xdr:from>
    <xdr:to>
      <xdr:col>6</xdr:col>
      <xdr:colOff>2209800</xdr:colOff>
      <xdr:row>9</xdr:row>
      <xdr:rowOff>114301</xdr:rowOff>
    </xdr:to>
    <xdr:sp macro="" textlink="'poivot table'!B36">
      <xdr:nvSpPr>
        <xdr:cNvPr id="16" name="TextBox 15">
          <a:extLst>
            <a:ext uri="{FF2B5EF4-FFF2-40B4-BE49-F238E27FC236}">
              <a16:creationId xmlns:a16="http://schemas.microsoft.com/office/drawing/2014/main" id="{8356F1A9-75EF-413D-A0F1-ED38FDA53887}"/>
            </a:ext>
          </a:extLst>
        </xdr:cNvPr>
        <xdr:cNvSpPr txBox="1"/>
      </xdr:nvSpPr>
      <xdr:spPr>
        <a:xfrm>
          <a:off x="4431506" y="1726406"/>
          <a:ext cx="1435894" cy="340520"/>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fld id="{38C609AC-99EB-41C5-9EA7-3A7C0F88961E}" type="TxLink">
            <a:rPr lang="en-US" sz="1600" b="0" i="0" u="none" strike="noStrike">
              <a:solidFill>
                <a:srgbClr val="000000"/>
              </a:solidFill>
              <a:effectLst/>
              <a:latin typeface="Calibri"/>
              <a:ea typeface="+mn-ea"/>
              <a:cs typeface="Calibri"/>
            </a:rPr>
            <a:pPr/>
            <a:t> 340,856,319 </a:t>
          </a:fld>
          <a:endParaRPr lang="en-US" sz="1600" kern="1200"/>
        </a:p>
      </xdr:txBody>
    </xdr:sp>
    <xdr:clientData/>
  </xdr:twoCellAnchor>
  <xdr:twoCellAnchor>
    <xdr:from>
      <xdr:col>4</xdr:col>
      <xdr:colOff>166687</xdr:colOff>
      <xdr:row>7</xdr:row>
      <xdr:rowOff>83344</xdr:rowOff>
    </xdr:from>
    <xdr:to>
      <xdr:col>6</xdr:col>
      <xdr:colOff>357187</xdr:colOff>
      <xdr:row>9</xdr:row>
      <xdr:rowOff>166687</xdr:rowOff>
    </xdr:to>
    <xdr:sp macro="" textlink="'poivot table'!B35">
      <xdr:nvSpPr>
        <xdr:cNvPr id="17" name="TextBox 16">
          <a:extLst>
            <a:ext uri="{FF2B5EF4-FFF2-40B4-BE49-F238E27FC236}">
              <a16:creationId xmlns:a16="http://schemas.microsoft.com/office/drawing/2014/main" id="{9EBCCDBC-5793-4E0D-A210-F78FB3A1CEA2}"/>
            </a:ext>
          </a:extLst>
        </xdr:cNvPr>
        <xdr:cNvSpPr txBox="1"/>
      </xdr:nvSpPr>
      <xdr:spPr>
        <a:xfrm>
          <a:off x="2605087" y="1654969"/>
          <a:ext cx="1409700" cy="464343"/>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ctr"/>
        <a:lstStyle/>
        <a:p>
          <a:pPr algn="ctr"/>
          <a:fld id="{29AFB39C-0356-4620-9AC6-D6056906A271}" type="TxLink">
            <a:rPr lang="en-US" sz="1600" b="0" i="0" u="none" strike="noStrike" kern="1200">
              <a:solidFill>
                <a:srgbClr val="000000"/>
              </a:solidFill>
              <a:latin typeface="Calibri"/>
              <a:cs typeface="Calibri"/>
            </a:rPr>
            <a:pPr algn="ctr"/>
            <a:t> 419,145,700 </a:t>
          </a:fld>
          <a:endParaRPr lang="en-US" sz="1600" kern="1200"/>
        </a:p>
      </xdr:txBody>
    </xdr:sp>
    <xdr:clientData/>
  </xdr:twoCellAnchor>
  <xdr:twoCellAnchor>
    <xdr:from>
      <xdr:col>7</xdr:col>
      <xdr:colOff>247650</xdr:colOff>
      <xdr:row>7</xdr:row>
      <xdr:rowOff>180975</xdr:rowOff>
    </xdr:from>
    <xdr:to>
      <xdr:col>9</xdr:col>
      <xdr:colOff>228600</xdr:colOff>
      <xdr:row>9</xdr:row>
      <xdr:rowOff>123825</xdr:rowOff>
    </xdr:to>
    <xdr:sp macro="" textlink="'poivot table'!B37">
      <xdr:nvSpPr>
        <xdr:cNvPr id="18" name="TextBox 17">
          <a:extLst>
            <a:ext uri="{FF2B5EF4-FFF2-40B4-BE49-F238E27FC236}">
              <a16:creationId xmlns:a16="http://schemas.microsoft.com/office/drawing/2014/main" id="{11CF5B28-435D-435B-8296-67D6ED79032A}"/>
            </a:ext>
          </a:extLst>
        </xdr:cNvPr>
        <xdr:cNvSpPr txBox="1"/>
      </xdr:nvSpPr>
      <xdr:spPr>
        <a:xfrm>
          <a:off x="6324600" y="1752600"/>
          <a:ext cx="1200150" cy="323850"/>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fld id="{5B6A3E33-009D-4032-B211-4AA9E8C06C76}" type="TxLink">
            <a:rPr lang="en-US" sz="1600" b="0" i="0" u="none" strike="noStrike" kern="1200">
              <a:solidFill>
                <a:srgbClr val="000000"/>
              </a:solidFill>
              <a:latin typeface="Calibri"/>
              <a:cs typeface="Calibri"/>
            </a:rPr>
            <a:pPr/>
            <a:t> 57,419,969 </a:t>
          </a:fld>
          <a:endParaRPr lang="en-US" sz="1600" kern="1200"/>
        </a:p>
      </xdr:txBody>
    </xdr:sp>
    <xdr:clientData/>
  </xdr:twoCellAnchor>
  <xdr:twoCellAnchor>
    <xdr:from>
      <xdr:col>10</xdr:col>
      <xdr:colOff>581025</xdr:colOff>
      <xdr:row>8</xdr:row>
      <xdr:rowOff>0</xdr:rowOff>
    </xdr:from>
    <xdr:to>
      <xdr:col>12</xdr:col>
      <xdr:colOff>381000</xdr:colOff>
      <xdr:row>9</xdr:row>
      <xdr:rowOff>76200</xdr:rowOff>
    </xdr:to>
    <xdr:sp macro="" textlink="'poivot table'!B38">
      <xdr:nvSpPr>
        <xdr:cNvPr id="19" name="TextBox 18">
          <a:extLst>
            <a:ext uri="{FF2B5EF4-FFF2-40B4-BE49-F238E27FC236}">
              <a16:creationId xmlns:a16="http://schemas.microsoft.com/office/drawing/2014/main" id="{7F7A1142-F1F1-49CE-9A3C-161D75E1AA1D}"/>
            </a:ext>
          </a:extLst>
        </xdr:cNvPr>
        <xdr:cNvSpPr txBox="1"/>
      </xdr:nvSpPr>
      <xdr:spPr>
        <a:xfrm>
          <a:off x="8486775" y="1762125"/>
          <a:ext cx="1019175" cy="266700"/>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fld id="{437FA6E8-44A2-492C-9609-FF90AEAC5093}" type="TxLink">
            <a:rPr lang="en-US" sz="1600" b="0" i="0" u="none" strike="noStrike" kern="1200" cap="none" spc="0">
              <a:ln>
                <a:noFill/>
              </a:ln>
              <a:solidFill>
                <a:schemeClr val="tx1"/>
              </a:solidFill>
              <a:effectLst/>
              <a:latin typeface="Calibri"/>
              <a:cs typeface="Calibri"/>
            </a:rPr>
            <a:pPr/>
            <a:t>16.85%</a:t>
          </a:fld>
          <a:endParaRPr lang="en-US" sz="1600" b="0" kern="1200" cap="none" spc="0">
            <a:ln>
              <a:noFill/>
            </a:ln>
            <a:solidFill>
              <a:schemeClr val="tx1"/>
            </a:solidFill>
            <a:effectLst/>
          </a:endParaRPr>
        </a:p>
      </xdr:txBody>
    </xdr:sp>
    <xdr:clientData/>
  </xdr:twoCellAnchor>
  <xdr:twoCellAnchor>
    <xdr:from>
      <xdr:col>13</xdr:col>
      <xdr:colOff>552451</xdr:colOff>
      <xdr:row>7</xdr:row>
      <xdr:rowOff>180975</xdr:rowOff>
    </xdr:from>
    <xdr:to>
      <xdr:col>15</xdr:col>
      <xdr:colOff>304801</xdr:colOff>
      <xdr:row>9</xdr:row>
      <xdr:rowOff>104775</xdr:rowOff>
    </xdr:to>
    <xdr:sp macro="" textlink="'poivot table'!B39">
      <xdr:nvSpPr>
        <xdr:cNvPr id="20" name="TextBox 19">
          <a:extLst>
            <a:ext uri="{FF2B5EF4-FFF2-40B4-BE49-F238E27FC236}">
              <a16:creationId xmlns:a16="http://schemas.microsoft.com/office/drawing/2014/main" id="{B3C94CA2-57C1-4988-A073-2C12CCE006AE}"/>
            </a:ext>
          </a:extLst>
        </xdr:cNvPr>
        <xdr:cNvSpPr txBox="1"/>
      </xdr:nvSpPr>
      <xdr:spPr>
        <a:xfrm>
          <a:off x="10287001" y="1752600"/>
          <a:ext cx="971550" cy="304800"/>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fld id="{851BABA9-600A-4FED-8CBE-D17C01E86502}" type="TxLink">
            <a:rPr lang="en-US" sz="1600" b="0" i="0" u="none" strike="noStrike" kern="1200">
              <a:solidFill>
                <a:srgbClr val="000000"/>
              </a:solidFill>
              <a:latin typeface="Calibri"/>
              <a:cs typeface="Calibri"/>
            </a:rPr>
            <a:pPr/>
            <a:t>42.03%</a:t>
          </a:fld>
          <a:endParaRPr lang="en-US" sz="1600" kern="1200"/>
        </a:p>
      </xdr:txBody>
    </xdr:sp>
    <xdr:clientData/>
  </xdr:twoCellAnchor>
  <xdr:twoCellAnchor>
    <xdr:from>
      <xdr:col>1</xdr:col>
      <xdr:colOff>123825</xdr:colOff>
      <xdr:row>6</xdr:row>
      <xdr:rowOff>0</xdr:rowOff>
    </xdr:from>
    <xdr:to>
      <xdr:col>3</xdr:col>
      <xdr:colOff>390525</xdr:colOff>
      <xdr:row>37</xdr:row>
      <xdr:rowOff>161925</xdr:rowOff>
    </xdr:to>
    <xdr:sp macro="" textlink="">
      <xdr:nvSpPr>
        <xdr:cNvPr id="21" name="Rectangle 20">
          <a:extLst>
            <a:ext uri="{FF2B5EF4-FFF2-40B4-BE49-F238E27FC236}">
              <a16:creationId xmlns:a16="http://schemas.microsoft.com/office/drawing/2014/main" id="{855D998C-ACEA-4335-8244-1D053A606A3A}"/>
            </a:ext>
          </a:extLst>
        </xdr:cNvPr>
        <xdr:cNvSpPr/>
      </xdr:nvSpPr>
      <xdr:spPr>
        <a:xfrm>
          <a:off x="733425" y="1381125"/>
          <a:ext cx="1485900" cy="6067425"/>
        </a:xfrm>
        <a:prstGeom prst="rect">
          <a:avLst/>
        </a:prstGeom>
        <a:effectLst>
          <a:outerShdw blurRad="57150" dist="19050" dir="5400000" algn="ctr" rotWithShape="0">
            <a:srgbClr val="000000">
              <a:alpha val="63000"/>
            </a:srgb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marL="0" indent="0" algn="ctr"/>
          <a:endParaRPr lang="en-US" sz="2400" kern="1200">
            <a:solidFill>
              <a:schemeClr val="lt1"/>
            </a:solidFill>
            <a:latin typeface="+mn-lt"/>
            <a:ea typeface="+mn-ea"/>
            <a:cs typeface="+mn-cs"/>
          </a:endParaRPr>
        </a:p>
      </xdr:txBody>
    </xdr:sp>
    <xdr:clientData/>
  </xdr:twoCellAnchor>
  <xdr:twoCellAnchor editAs="oneCell">
    <xdr:from>
      <xdr:col>1</xdr:col>
      <xdr:colOff>123826</xdr:colOff>
      <xdr:row>6</xdr:row>
      <xdr:rowOff>57149</xdr:rowOff>
    </xdr:from>
    <xdr:to>
      <xdr:col>3</xdr:col>
      <xdr:colOff>428625</xdr:colOff>
      <xdr:row>12</xdr:row>
      <xdr:rowOff>0</xdr:rowOff>
    </xdr:to>
    <mc:AlternateContent xmlns:mc="http://schemas.openxmlformats.org/markup-compatibility/2006" xmlns:a14="http://schemas.microsoft.com/office/drawing/2010/main">
      <mc:Choice Requires="a14">
        <xdr:graphicFrame macro="">
          <xdr:nvGraphicFramePr>
            <xdr:cNvPr id="22" name="Year 3">
              <a:extLst>
                <a:ext uri="{FF2B5EF4-FFF2-40B4-BE49-F238E27FC236}">
                  <a16:creationId xmlns:a16="http://schemas.microsoft.com/office/drawing/2014/main" id="{B8E4251C-6B52-49FB-941B-8B726B7B84D6}"/>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737659" y="1443566"/>
              <a:ext cx="1532466" cy="1085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133350</xdr:colOff>
      <xdr:row>12</xdr:row>
      <xdr:rowOff>142876</xdr:rowOff>
    </xdr:from>
    <xdr:to>
      <xdr:col>3</xdr:col>
      <xdr:colOff>438150</xdr:colOff>
      <xdr:row>21</xdr:row>
      <xdr:rowOff>0</xdr:rowOff>
    </xdr:to>
    <mc:AlternateContent xmlns:mc="http://schemas.openxmlformats.org/markup-compatibility/2006" xmlns:a14="http://schemas.microsoft.com/office/drawing/2010/main">
      <mc:Choice Requires="a14">
        <xdr:graphicFrame macro="">
          <xdr:nvGraphicFramePr>
            <xdr:cNvPr id="23" name="Item Category 1">
              <a:extLst>
                <a:ext uri="{FF2B5EF4-FFF2-40B4-BE49-F238E27FC236}">
                  <a16:creationId xmlns:a16="http://schemas.microsoft.com/office/drawing/2014/main" id="{E823FD87-AB37-4AED-8A0F-80B32059FD82}"/>
                </a:ext>
              </a:extLst>
            </xdr:cNvPr>
            <xdr:cNvGraphicFramePr/>
          </xdr:nvGraphicFramePr>
          <xdr:xfrm>
            <a:off x="0" y="0"/>
            <a:ext cx="0" cy="0"/>
          </xdr:xfrm>
          <a:graphic>
            <a:graphicData uri="http://schemas.microsoft.com/office/drawing/2010/slicer">
              <sle:slicer xmlns:sle="http://schemas.microsoft.com/office/drawing/2010/slicer" name="Item Category 1"/>
            </a:graphicData>
          </a:graphic>
        </xdr:graphicFrame>
      </mc:Choice>
      <mc:Fallback xmlns="">
        <xdr:sp macro="" textlink="">
          <xdr:nvSpPr>
            <xdr:cNvPr id="0" name=""/>
            <xdr:cNvSpPr>
              <a:spLocks noTextEdit="1"/>
            </xdr:cNvSpPr>
          </xdr:nvSpPr>
          <xdr:spPr>
            <a:xfrm>
              <a:off x="747183" y="2672293"/>
              <a:ext cx="1532467" cy="1571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2117</xdr:colOff>
      <xdr:row>11</xdr:row>
      <xdr:rowOff>164040</xdr:rowOff>
    </xdr:from>
    <xdr:to>
      <xdr:col>8</xdr:col>
      <xdr:colOff>530679</xdr:colOff>
      <xdr:row>24</xdr:row>
      <xdr:rowOff>81642</xdr:rowOff>
    </xdr:to>
    <xdr:sp macro="" textlink="">
      <xdr:nvSpPr>
        <xdr:cNvPr id="24" name="Rectangle: Rounded Corners 23">
          <a:extLst>
            <a:ext uri="{FF2B5EF4-FFF2-40B4-BE49-F238E27FC236}">
              <a16:creationId xmlns:a16="http://schemas.microsoft.com/office/drawing/2014/main" id="{63B3F347-8391-4848-8F0A-C1FB152E6B38}"/>
            </a:ext>
          </a:extLst>
        </xdr:cNvPr>
        <xdr:cNvSpPr/>
      </xdr:nvSpPr>
      <xdr:spPr>
        <a:xfrm>
          <a:off x="2440517" y="2497665"/>
          <a:ext cx="4776712" cy="2394102"/>
        </a:xfrm>
        <a:prstGeom prst="roundRect">
          <a:avLst/>
        </a:prstGeom>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158749</xdr:colOff>
      <xdr:row>11</xdr:row>
      <xdr:rowOff>105832</xdr:rowOff>
    </xdr:from>
    <xdr:to>
      <xdr:col>8</xdr:col>
      <xdr:colOff>408216</xdr:colOff>
      <xdr:row>24</xdr:row>
      <xdr:rowOff>81642</xdr:rowOff>
    </xdr:to>
    <xdr:graphicFrame macro="">
      <xdr:nvGraphicFramePr>
        <xdr:cNvPr id="25" name="chart margin ">
          <a:extLst>
            <a:ext uri="{FF2B5EF4-FFF2-40B4-BE49-F238E27FC236}">
              <a16:creationId xmlns:a16="http://schemas.microsoft.com/office/drawing/2014/main" id="{EDC4BDEB-203E-4C38-8A66-42FBB6A28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114300</xdr:colOff>
      <xdr:row>21</xdr:row>
      <xdr:rowOff>90563</xdr:rowOff>
    </xdr:from>
    <xdr:to>
      <xdr:col>3</xdr:col>
      <xdr:colOff>419099</xdr:colOff>
      <xdr:row>37</xdr:row>
      <xdr:rowOff>104775</xdr:rowOff>
    </xdr:to>
    <mc:AlternateContent xmlns:mc="http://schemas.openxmlformats.org/markup-compatibility/2006" xmlns:a14="http://schemas.microsoft.com/office/drawing/2010/main">
      <mc:Choice Requires="a14">
        <xdr:graphicFrame macro="">
          <xdr:nvGraphicFramePr>
            <xdr:cNvPr id="26" name="Country 1">
              <a:extLst>
                <a:ext uri="{FF2B5EF4-FFF2-40B4-BE49-F238E27FC236}">
                  <a16:creationId xmlns:a16="http://schemas.microsoft.com/office/drawing/2014/main" id="{B21056C7-8EAB-4CAC-82D7-993448006A9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28133" y="4334480"/>
              <a:ext cx="1532466" cy="3062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10584</xdr:colOff>
      <xdr:row>25</xdr:row>
      <xdr:rowOff>63500</xdr:rowOff>
    </xdr:from>
    <xdr:to>
      <xdr:col>8</xdr:col>
      <xdr:colOff>514350</xdr:colOff>
      <xdr:row>38</xdr:row>
      <xdr:rowOff>66675</xdr:rowOff>
    </xdr:to>
    <xdr:sp macro="" textlink="">
      <xdr:nvSpPr>
        <xdr:cNvPr id="27" name="Rectangle: Rounded Corners 26">
          <a:extLst>
            <a:ext uri="{FF2B5EF4-FFF2-40B4-BE49-F238E27FC236}">
              <a16:creationId xmlns:a16="http://schemas.microsoft.com/office/drawing/2014/main" id="{C36D8E59-90CB-4503-9F66-C1922478F298}"/>
            </a:ext>
          </a:extLst>
        </xdr:cNvPr>
        <xdr:cNvSpPr/>
      </xdr:nvSpPr>
      <xdr:spPr>
        <a:xfrm>
          <a:off x="2448984" y="5064125"/>
          <a:ext cx="4751916" cy="2479675"/>
        </a:xfrm>
        <a:prstGeom prst="roundRect">
          <a:avLst/>
        </a:prstGeom>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63501</xdr:colOff>
      <xdr:row>25</xdr:row>
      <xdr:rowOff>52916</xdr:rowOff>
    </xdr:from>
    <xdr:to>
      <xdr:col>8</xdr:col>
      <xdr:colOff>323851</xdr:colOff>
      <xdr:row>37</xdr:row>
      <xdr:rowOff>171450</xdr:rowOff>
    </xdr:to>
    <xdr:graphicFrame macro="">
      <xdr:nvGraphicFramePr>
        <xdr:cNvPr id="28" name="Top countries">
          <a:extLst>
            <a:ext uri="{FF2B5EF4-FFF2-40B4-BE49-F238E27FC236}">
              <a16:creationId xmlns:a16="http://schemas.microsoft.com/office/drawing/2014/main" id="{C15E4841-F8D6-45EE-9D7E-5F698E7B0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140493</xdr:colOff>
      <xdr:row>11</xdr:row>
      <xdr:rowOff>142874</xdr:rowOff>
    </xdr:from>
    <xdr:to>
      <xdr:col>16</xdr:col>
      <xdr:colOff>514351</xdr:colOff>
      <xdr:row>24</xdr:row>
      <xdr:rowOff>26191</xdr:rowOff>
    </xdr:to>
    <xdr:sp macro="" textlink="">
      <xdr:nvSpPr>
        <xdr:cNvPr id="29" name="Rectangle: Rounded Corners 28">
          <a:extLst>
            <a:ext uri="{FF2B5EF4-FFF2-40B4-BE49-F238E27FC236}">
              <a16:creationId xmlns:a16="http://schemas.microsoft.com/office/drawing/2014/main" id="{DA841813-0B6E-42D7-B407-3970E01FA462}"/>
            </a:ext>
          </a:extLst>
        </xdr:cNvPr>
        <xdr:cNvSpPr/>
      </xdr:nvSpPr>
      <xdr:spPr>
        <a:xfrm>
          <a:off x="7436643" y="2476499"/>
          <a:ext cx="4641058" cy="2359817"/>
        </a:xfrm>
        <a:prstGeom prst="roundRect">
          <a:avLst/>
        </a:prstGeom>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222250</xdr:colOff>
      <xdr:row>11</xdr:row>
      <xdr:rowOff>45509</xdr:rowOff>
    </xdr:from>
    <xdr:to>
      <xdr:col>16</xdr:col>
      <xdr:colOff>282574</xdr:colOff>
      <xdr:row>24</xdr:row>
      <xdr:rowOff>71437</xdr:rowOff>
    </xdr:to>
    <xdr:graphicFrame macro="">
      <xdr:nvGraphicFramePr>
        <xdr:cNvPr id="30" name="chart growth">
          <a:extLst>
            <a:ext uri="{FF2B5EF4-FFF2-40B4-BE49-F238E27FC236}">
              <a16:creationId xmlns:a16="http://schemas.microsoft.com/office/drawing/2014/main" id="{C6E5D097-1386-4A15-84F1-2D8AEFEDD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161925</xdr:colOff>
      <xdr:row>25</xdr:row>
      <xdr:rowOff>28575</xdr:rowOff>
    </xdr:from>
    <xdr:to>
      <xdr:col>16</xdr:col>
      <xdr:colOff>552450</xdr:colOff>
      <xdr:row>38</xdr:row>
      <xdr:rowOff>76200</xdr:rowOff>
    </xdr:to>
    <xdr:sp macro="" textlink="">
      <xdr:nvSpPr>
        <xdr:cNvPr id="33" name="Rectangle: Rounded Corners 32">
          <a:extLst>
            <a:ext uri="{FF2B5EF4-FFF2-40B4-BE49-F238E27FC236}">
              <a16:creationId xmlns:a16="http://schemas.microsoft.com/office/drawing/2014/main" id="{F295C763-A2E2-4AAB-90C9-A84ED6449F54}"/>
            </a:ext>
          </a:extLst>
        </xdr:cNvPr>
        <xdr:cNvSpPr/>
      </xdr:nvSpPr>
      <xdr:spPr>
        <a:xfrm>
          <a:off x="7458075" y="5029200"/>
          <a:ext cx="4657725" cy="2524125"/>
        </a:xfrm>
        <a:prstGeom prst="roundRect">
          <a:avLst/>
        </a:prstGeom>
        <a:effectLst>
          <a:glow rad="139700">
            <a:schemeClr val="accent3">
              <a:satMod val="175000"/>
              <a:alpha val="40000"/>
            </a:schemeClr>
          </a:glo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285750</xdr:colOff>
      <xdr:row>25</xdr:row>
      <xdr:rowOff>114300</xdr:rowOff>
    </xdr:from>
    <xdr:to>
      <xdr:col>16</xdr:col>
      <xdr:colOff>495300</xdr:colOff>
      <xdr:row>37</xdr:row>
      <xdr:rowOff>95250</xdr:rowOff>
    </xdr:to>
    <xdr:graphicFrame macro="">
      <xdr:nvGraphicFramePr>
        <xdr:cNvPr id="31" name="Chart 30">
          <a:extLst>
            <a:ext uri="{FF2B5EF4-FFF2-40B4-BE49-F238E27FC236}">
              <a16:creationId xmlns:a16="http://schemas.microsoft.com/office/drawing/2014/main" id="{B2C388F6-3D67-4A95-9342-25768D6FB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rawy" refreshedDate="46126.808360532406" backgroundQuery="1" createdVersion="8" refreshedVersion="8" minRefreshableVersion="3" recordCount="0" supportSubquery="1" supportAdvancedDrill="1" xr:uid="{3C60BB4A-D010-414C-8FCE-1F4E806289C7}">
  <cacheSource type="external" connectionId="11"/>
  <cacheFields count="2">
    <cacheField name="[Customer Data].[Country].[Country]" caption="Country" numFmtId="0" hierarchy="3" level="1">
      <sharedItems count="10">
        <s v="Egypt"/>
        <s v="Indonesia"/>
        <s v="Kenya"/>
        <s v="Libya"/>
        <s v="Malaysia"/>
        <s v="Palestine"/>
        <s v="Saudi Arabia"/>
        <s v="Sudan"/>
        <s v="Syria"/>
        <s v="Turkey"/>
      </sharedItems>
    </cacheField>
    <cacheField name="[Measures].[total net]" caption="total net" numFmtId="0" hierarchy="34" level="32767"/>
  </cacheFields>
  <cacheHierarchies count="5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fieldsUsage count="2">
        <fieldUsage x="-1"/>
        <fieldUsage x="0"/>
      </fieldsUsage>
    </cacheHierarchy>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0" memberValueDatatype="130" unbalanced="0"/>
    <cacheHierarchy uniqueName="[Dates].[Date]" caption="Date" attribute="1" time="1" keyAttribute="1" defaultMemberUniqueName="[Dates].[Date].[All]" allUniqueName="[Dates].[Date].[All]" dimensionUniqueName="[Dates]" displayFolder="" count="0" memberValueDatatype="7" unbalanced="0"/>
    <cacheHierarchy uniqueName="[Dates].[Day]" caption="Day" attribute="1" time="1" defaultMemberUniqueName="[Dates].[Day].[All]" allUniqueName="[Dates].[Day].[All]" dimensionUniqueName="[Dates]" displayFolder="" count="0" memberValueDatatype="20" unbalanced="0"/>
    <cacheHierarchy uniqueName="[Dates].[Month]" caption="Month" attribute="1" time="1" defaultMemberUniqueName="[Dates].[Month].[All]" allUniqueName="[Dates].[Month].[All]" dimensionUniqueName="[Dates]" displayFolder="" count="0" memberValueDatatype="20" unbalanced="0"/>
    <cacheHierarchy uniqueName="[Dates].[Year]" caption="Year" attribute="1" time="1" defaultMemberUniqueName="[Dates].[Year].[All]" allUniqueName="[Dates].[Year].[All]" dimensionUniqueName="[Dates]" displayFolder="" count="0" memberValueDatatype="20" unbalanced="0"/>
    <cacheHierarchy uniqueName="[Dates].[Quarter]" caption="Quarter" attribute="1" time="1" defaultMemberUniqueName="[Dates].[Quarter].[All]" allUniqueName="[Dates].[Quarter].[All]" dimensionUniqueName="[Dates]" displayFolder="" count="0" memberValueDatatype="2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0" memberValueDatatype="130" unbalanced="0"/>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0" memberValueDatatype="130" unbalanced="0"/>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20" unbalanced="0"/>
    <cacheHierarchy uniqueName="[Total Targets 4 Years].[Year]" caption="Year" attribute="1" defaultMemberUniqueName="[Total Targets 4 Years].[Year].[All]" allUniqueName="[Total Targets 4 Years].[Year].[All]" dimensionUniqueName="[Total Targets 4 Years]" displayFolder="" count="0" memberValueDatatype="2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total net]" caption="total net" measure="1" displayFolder="" measureGroup="Sales" count="0" oneField="1">
      <fieldsUsage count="1">
        <fieldUsage x="1"/>
      </fieldsUsage>
    </cacheHierarchy>
    <cacheHierarchy uniqueName="[Measures].[total cost]" caption="total cost" measure="1" displayFolder="" measureGroup="Sales" count="0"/>
    <cacheHierarchy uniqueName="[Measures].[profit]" caption="profit" measure="1" displayFolder="" measureGroup="Sales" count="0"/>
    <cacheHierarchy uniqueName="[Measures].[margin]" caption="margin" measure="1" displayFolder="" measureGroup="Sales" count="0"/>
    <cacheHierarchy uniqueName="[Measures].[sales YOY]" caption="sales YOY" measure="1" displayFolder="" measureGroup="Sales" count="0"/>
    <cacheHierarchy uniqueName="[Measures].[Growth]" caption="Growth" measure="1" displayFolder="" measureGroup="Sales" count="0"/>
    <cacheHierarchy uniqueName="[Measures].[total salees]" caption="total salees" measure="1" displayFolder="" measureGroup="Sales" count="0"/>
    <cacheHierarchy uniqueName="[Measures].[__XL_Count Customer Data]" caption="__XL_Count Customer Data" measure="1" displayFolder="" measureGroup="Customer Data" count="0" hidden="1"/>
    <cacheHierarchy uniqueName="[Measures].[__XL_Count Item Cost]" caption="__XL_Count Item Cost" measure="1" displayFolder="" measureGroup="Item Cost" count="0" hidden="1"/>
    <cacheHierarchy uniqueName="[Measures].[__XL_Count Price List]" caption="__XL_Count Price List" measure="1" displayFolder="" measureGroup="Price List" count="0" hidden="1"/>
    <cacheHierarchy uniqueName="[Measures].[__XL_Count Total Targets 4 Years]" caption="__XL_Count Total Targets 4 Years" measure="1" displayFolder="" measureGroup="Total Targets 4 Years" count="0" hidden="1"/>
    <cacheHierarchy uniqueName="[Measures].[__XL_Count Dates]" caption="__XL_Count Dates" measure="1" displayFolder="" measureGroup="Dat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3"/>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29"/>
        </ext>
      </extLst>
    </cacheHierarchy>
  </cacheHierarchies>
  <kpis count="0"/>
  <dimensions count="7">
    <dimension name="Customer Data" uniqueName="[Customer Data]" caption="Customer Data"/>
    <dimension name="Dates" uniqueName="[Dates]" caption="Dates"/>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ustomer Data" caption="Customer Data"/>
    <measureGroup name="Dates" caption="Dates"/>
    <measureGroup name="Item Cost" caption="Item Cost"/>
    <measureGroup name="Price List" caption="Price List"/>
    <measureGroup name="Sales" caption="Sales"/>
    <measureGroup name="Total Targets 4 Years" caption="Total Targets 4 Years"/>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rawy" refreshedDate="46128.57577476852" backgroundQuery="1" createdVersion="8" refreshedVersion="8" minRefreshableVersion="3" recordCount="0" supportSubquery="1" supportAdvancedDrill="1" xr:uid="{1DD10197-2E23-4D6D-8B9E-F99C4C679490}">
  <cacheSource type="external" connectionId="11"/>
  <cacheFields count="4">
    <cacheField name="[Price List].[Item Category].[Item Category]" caption="Item Category" numFmtId="0" hierarchy="15" level="1">
      <sharedItems count="4">
        <s v="Air Conditioners"/>
        <s v="Home Appliances"/>
        <s v="Laptops"/>
        <s v="Mobiles"/>
      </sharedItems>
    </cacheField>
    <cacheField name="[Measures].[total net]" caption="total net" numFmtId="0" hierarchy="34" level="32767"/>
    <cacheField name="[Measures].[margin]" caption="margin" numFmtId="0" hierarchy="37" level="32767"/>
    <cacheField name="[Dates].[Year].[Year]" caption="Year" numFmtId="0" hierarchy="10" level="1">
      <sharedItems containsSemiMixedTypes="0" containsNonDate="0" containsString="0"/>
    </cacheField>
  </cacheFields>
  <cacheHierarchies count="5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0" memberValueDatatype="130" unbalanced="0"/>
    <cacheHierarchy uniqueName="[Dates].[Date]" caption="Date" attribute="1" time="1" keyAttribute="1" defaultMemberUniqueName="[Dates].[Date].[All]" allUniqueName="[Dates].[Date].[All]" dimensionUniqueName="[Dates]" displayFolder="" count="0" memberValueDatatype="7" unbalanced="0"/>
    <cacheHierarchy uniqueName="[Dates].[Day]" caption="Day" attribute="1" time="1" defaultMemberUniqueName="[Dates].[Day].[All]" allUniqueName="[Dates].[Day].[All]" dimensionUniqueName="[Dates]" displayFolder="" count="0" memberValueDatatype="20" unbalanced="0"/>
    <cacheHierarchy uniqueName="[Dates].[Month]" caption="Month" attribute="1" time="1" defaultMemberUniqueName="[Dates].[Month].[All]" allUniqueName="[Dates].[Month].[All]" dimensionUniqueName="[Dates]" displayFolder="" count="0" memberValueDatatype="20" unbalanced="0"/>
    <cacheHierarchy uniqueName="[Dates].[Year]" caption="Year" attribute="1" time="1" defaultMemberUniqueName="[Dates].[Year].[All]" allUniqueName="[Dates].[Year].[All]" dimensionUniqueName="[Dates]" displayFolder="" count="2" memberValueDatatype="20" unbalanced="0">
      <fieldsUsage count="2">
        <fieldUsage x="-1"/>
        <fieldUsage x="3"/>
      </fieldsUsage>
    </cacheHierarchy>
    <cacheHierarchy uniqueName="[Dates].[Quarter]" caption="Quarter" attribute="1" time="1" defaultMemberUniqueName="[Dates].[Quarter].[All]" allUniqueName="[Dates].[Quarter].[All]" dimensionUniqueName="[Dates]" displayFolder="" count="0" memberValueDatatype="2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2" memberValueDatatype="130" unbalanced="0">
      <fieldsUsage count="2">
        <fieldUsage x="-1"/>
        <fieldUsage x="0"/>
      </fieldsUsage>
    </cacheHierarchy>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0" memberValueDatatype="130" unbalanced="0"/>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20" unbalanced="0"/>
    <cacheHierarchy uniqueName="[Total Targets 4 Years].[Year]" caption="Year" attribute="1" defaultMemberUniqueName="[Total Targets 4 Years].[Year].[All]" allUniqueName="[Total Targets 4 Years].[Year].[All]" dimensionUniqueName="[Total Targets 4 Years]" displayFolder="" count="0" memberValueDatatype="2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total net]" caption="total net" measure="1" displayFolder="" measureGroup="Sales" count="0" oneField="1">
      <fieldsUsage count="1">
        <fieldUsage x="1"/>
      </fieldsUsage>
    </cacheHierarchy>
    <cacheHierarchy uniqueName="[Measures].[total cost]" caption="total cost" measure="1" displayFolder="" measureGroup="Sales" count="0"/>
    <cacheHierarchy uniqueName="[Measures].[profit]" caption="profit" measure="1" displayFolder="" measureGroup="Sales" count="0"/>
    <cacheHierarchy uniqueName="[Measures].[margin]" caption="margin" measure="1" displayFolder="" measureGroup="Sales" count="0" oneField="1">
      <fieldsUsage count="1">
        <fieldUsage x="2"/>
      </fieldsUsage>
    </cacheHierarchy>
    <cacheHierarchy uniqueName="[Measures].[sales YOY]" caption="sales YOY" measure="1" displayFolder="" measureGroup="Sales" count="0"/>
    <cacheHierarchy uniqueName="[Measures].[Growth]" caption="Growth" measure="1" displayFolder="" measureGroup="Sales" count="0"/>
    <cacheHierarchy uniqueName="[Measures].[total salees]" caption="total salees" measure="1" displayFolder="" measureGroup="Sales" count="0"/>
    <cacheHierarchy uniqueName="[Measures].[__XL_Count Customer Data]" caption="__XL_Count Customer Data" measure="1" displayFolder="" measureGroup="Customer Data" count="0" hidden="1"/>
    <cacheHierarchy uniqueName="[Measures].[__XL_Count Item Cost]" caption="__XL_Count Item Cost" measure="1" displayFolder="" measureGroup="Item Cost" count="0" hidden="1"/>
    <cacheHierarchy uniqueName="[Measures].[__XL_Count Price List]" caption="__XL_Count Price List" measure="1" displayFolder="" measureGroup="Price List" count="0" hidden="1"/>
    <cacheHierarchy uniqueName="[Measures].[__XL_Count Total Targets 4 Years]" caption="__XL_Count Total Targets 4 Years" measure="1" displayFolder="" measureGroup="Total Targets 4 Years" count="0" hidden="1"/>
    <cacheHierarchy uniqueName="[Measures].[__XL_Count Dates]" caption="__XL_Count Dates" measure="1" displayFolder="" measureGroup="Dat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3"/>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29"/>
        </ext>
      </extLst>
    </cacheHierarchy>
  </cacheHierarchies>
  <kpis count="0"/>
  <dimensions count="7">
    <dimension name="Customer Data" uniqueName="[Customer Data]" caption="Customer Data"/>
    <dimension name="Dates" uniqueName="[Dates]" caption="Dates"/>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ustomer Data" caption="Customer Data"/>
    <measureGroup name="Dates" caption="Dates"/>
    <measureGroup name="Item Cost" caption="Item Cost"/>
    <measureGroup name="Price List" caption="Price List"/>
    <measureGroup name="Sales" caption="Sales"/>
    <measureGroup name="Total Targets 4 Years" caption="Total Targets 4 Years"/>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rawy" refreshedDate="46128.575775347221" backgroundQuery="1" createdVersion="8" refreshedVersion="8" minRefreshableVersion="3" recordCount="0" supportSubquery="1" supportAdvancedDrill="1" xr:uid="{465644A3-7D14-47D0-8F76-5D6C061C9845}">
  <cacheSource type="external" connectionId="11"/>
  <cacheFields count="3">
    <cacheField name="[Dates].[Year].[Year]" caption="Year" numFmtId="0" hierarchy="10"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Dates].[Year].&amp;[2019]"/>
            <x15:cachedUniqueName index="1" name="[Dates].[Year].&amp;[2020]"/>
            <x15:cachedUniqueName index="2" name="[Dates].[Year].&amp;[2021]"/>
            <x15:cachedUniqueName index="3" name="[Dates].[Year].&amp;[2022]"/>
          </x15:cachedUniqueNames>
        </ext>
      </extLst>
    </cacheField>
    <cacheField name="[Measures].[total net]" caption="total net" numFmtId="0" hierarchy="34" level="32767"/>
    <cacheField name="[Measures].[Growth]" caption="Growth" numFmtId="0" hierarchy="39" level="32767"/>
  </cacheFields>
  <cacheHierarchies count="5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0" memberValueDatatype="130" unbalanced="0"/>
    <cacheHierarchy uniqueName="[Dates].[Date]" caption="Date" attribute="1" time="1" keyAttribute="1" defaultMemberUniqueName="[Dates].[Date].[All]" allUniqueName="[Dates].[Date].[All]" dimensionUniqueName="[Dates]" displayFolder="" count="0" memberValueDatatype="7" unbalanced="0"/>
    <cacheHierarchy uniqueName="[Dates].[Day]" caption="Day" attribute="1" time="1" defaultMemberUniqueName="[Dates].[Day].[All]" allUniqueName="[Dates].[Day].[All]" dimensionUniqueName="[Dates]" displayFolder="" count="0" memberValueDatatype="20" unbalanced="0"/>
    <cacheHierarchy uniqueName="[Dates].[Month]" caption="Month" attribute="1" time="1" defaultMemberUniqueName="[Dates].[Month].[All]" allUniqueName="[Dates].[Month].[All]" dimensionUniqueName="[Dates]" displayFolder="" count="0" memberValueDatatype="20" unbalanced="0"/>
    <cacheHierarchy uniqueName="[Dates].[Year]" caption="Year" attribute="1" time="1" defaultMemberUniqueName="[Dates].[Year].[All]" allUniqueName="[Dates].[Year].[All]" dimensionUniqueName="[Dates]" displayFolder="" count="2" memberValueDatatype="20" unbalanced="0">
      <fieldsUsage count="2">
        <fieldUsage x="-1"/>
        <fieldUsage x="0"/>
      </fieldsUsage>
    </cacheHierarchy>
    <cacheHierarchy uniqueName="[Dates].[Quarter]" caption="Quarter" attribute="1" time="1" defaultMemberUniqueName="[Dates].[Quarter].[All]" allUniqueName="[Dates].[Quarter].[All]" dimensionUniqueName="[Dates]" displayFolder="" count="0" memberValueDatatype="2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2" memberValueDatatype="130" unbalanced="0"/>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0" memberValueDatatype="130" unbalanced="0"/>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20" unbalanced="0"/>
    <cacheHierarchy uniqueName="[Total Targets 4 Years].[Year]" caption="Year" attribute="1" defaultMemberUniqueName="[Total Targets 4 Years].[Year].[All]" allUniqueName="[Total Targets 4 Years].[Year].[All]" dimensionUniqueName="[Total Targets 4 Years]" displayFolder="" count="0" memberValueDatatype="2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total net]" caption="total net" measure="1" displayFolder="" measureGroup="Sales" count="0" oneField="1">
      <fieldsUsage count="1">
        <fieldUsage x="1"/>
      </fieldsUsage>
    </cacheHierarchy>
    <cacheHierarchy uniqueName="[Measures].[total cost]" caption="total cost" measure="1" displayFolder="" measureGroup="Sales" count="0"/>
    <cacheHierarchy uniqueName="[Measures].[profit]" caption="profit" measure="1" displayFolder="" measureGroup="Sales" count="0"/>
    <cacheHierarchy uniqueName="[Measures].[margin]" caption="margin" measure="1" displayFolder="" measureGroup="Sales" count="0"/>
    <cacheHierarchy uniqueName="[Measures].[sales YOY]" caption="sales YOY" measure="1" displayFolder="" measureGroup="Sales" count="0"/>
    <cacheHierarchy uniqueName="[Measures].[Growth]" caption="Growth" measure="1" displayFolder="" measureGroup="Sales" count="0" oneField="1">
      <fieldsUsage count="1">
        <fieldUsage x="2"/>
      </fieldsUsage>
    </cacheHierarchy>
    <cacheHierarchy uniqueName="[Measures].[total salees]" caption="total salees" measure="1" displayFolder="" measureGroup="Sales" count="0"/>
    <cacheHierarchy uniqueName="[Measures].[__XL_Count Customer Data]" caption="__XL_Count Customer Data" measure="1" displayFolder="" measureGroup="Customer Data" count="0" hidden="1"/>
    <cacheHierarchy uniqueName="[Measures].[__XL_Count Item Cost]" caption="__XL_Count Item Cost" measure="1" displayFolder="" measureGroup="Item Cost" count="0" hidden="1"/>
    <cacheHierarchy uniqueName="[Measures].[__XL_Count Price List]" caption="__XL_Count Price List" measure="1" displayFolder="" measureGroup="Price List" count="0" hidden="1"/>
    <cacheHierarchy uniqueName="[Measures].[__XL_Count Total Targets 4 Years]" caption="__XL_Count Total Targets 4 Years" measure="1" displayFolder="" measureGroup="Total Targets 4 Years" count="0" hidden="1"/>
    <cacheHierarchy uniqueName="[Measures].[__XL_Count Dates]" caption="__XL_Count Dates" measure="1" displayFolder="" measureGroup="Dat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3"/>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29"/>
        </ext>
      </extLst>
    </cacheHierarchy>
  </cacheHierarchies>
  <kpis count="0"/>
  <dimensions count="7">
    <dimension name="Customer Data" uniqueName="[Customer Data]" caption="Customer Data"/>
    <dimension name="Dates" uniqueName="[Dates]" caption="Dates"/>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ustomer Data" caption="Customer Data"/>
    <measureGroup name="Dates" caption="Dates"/>
    <measureGroup name="Item Cost" caption="Item Cost"/>
    <measureGroup name="Price List" caption="Price List"/>
    <measureGroup name="Sales" caption="Sales"/>
    <measureGroup name="Total Targets 4 Years" caption="Total Targets 4 Years"/>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rawy" refreshedDate="46128.575775694444" backgroundQuery="1" createdVersion="8" refreshedVersion="8" minRefreshableVersion="3" recordCount="0" supportSubquery="1" supportAdvancedDrill="1" xr:uid="{6094117E-0C8A-4126-859E-DB095674B18A}">
  <cacheSource type="external" connectionId="11"/>
  <cacheFields count="3">
    <cacheField name="[Dates].[Month].[Month]" caption="Month" numFmtId="0" hierarchy="9"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es].[Month].&amp;[1]"/>
            <x15:cachedUniqueName index="1" name="[Dates].[Month].&amp;[2]"/>
            <x15:cachedUniqueName index="2" name="[Dates].[Month].&amp;[3]"/>
            <x15:cachedUniqueName index="3" name="[Dates].[Month].&amp;[4]"/>
            <x15:cachedUniqueName index="4" name="[Dates].[Month].&amp;[5]"/>
            <x15:cachedUniqueName index="5" name="[Dates].[Month].&amp;[6]"/>
            <x15:cachedUniqueName index="6" name="[Dates].[Month].&amp;[7]"/>
            <x15:cachedUniqueName index="7" name="[Dates].[Month].&amp;[8]"/>
            <x15:cachedUniqueName index="8" name="[Dates].[Month].&amp;[9]"/>
            <x15:cachedUniqueName index="9" name="[Dates].[Month].&amp;[10]"/>
            <x15:cachedUniqueName index="10" name="[Dates].[Month].&amp;[11]"/>
            <x15:cachedUniqueName index="11" name="[Dates].[Month].&amp;[12]"/>
          </x15:cachedUniqueNames>
        </ext>
      </extLst>
    </cacheField>
    <cacheField name="[Measures].[total net]" caption="total net" numFmtId="0" hierarchy="34" level="32767"/>
    <cacheField name="[Dates].[Year].[Year]" caption="Year" numFmtId="0" hierarchy="10" level="1">
      <sharedItems containsSemiMixedTypes="0" containsNonDate="0" containsString="0"/>
    </cacheField>
  </cacheFields>
  <cacheHierarchies count="5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2"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0" memberValueDatatype="130" unbalanced="0"/>
    <cacheHierarchy uniqueName="[Dates].[Date]" caption="Date" attribute="1" time="1" keyAttribute="1" defaultMemberUniqueName="[Dates].[Date].[All]" allUniqueName="[Dates].[Date].[All]" dimensionUniqueName="[Dates]" displayFolder="" count="0" memberValueDatatype="7" unbalanced="0"/>
    <cacheHierarchy uniqueName="[Dates].[Day]" caption="Day" attribute="1" time="1" defaultMemberUniqueName="[Dates].[Day].[All]" allUniqueName="[Dates].[Day].[All]" dimensionUniqueName="[Dates]" displayFolder="" count="0" memberValueDatatype="20" unbalanced="0"/>
    <cacheHierarchy uniqueName="[Dates].[Month]" caption="Month" attribute="1" time="1" defaultMemberUniqueName="[Dates].[Month].[All]" allUniqueName="[Dates].[Month].[All]" dimensionUniqueName="[Dates]" displayFolder="" count="2" memberValueDatatype="20" unbalanced="0">
      <fieldsUsage count="2">
        <fieldUsage x="-1"/>
        <fieldUsage x="0"/>
      </fieldsUsage>
    </cacheHierarchy>
    <cacheHierarchy uniqueName="[Dates].[Year]" caption="Year" attribute="1" time="1" defaultMemberUniqueName="[Dates].[Year].[All]" allUniqueName="[Dates].[Year].[All]" dimensionUniqueName="[Dates]" displayFolder="" count="2" memberValueDatatype="20" unbalanced="0">
      <fieldsUsage count="2">
        <fieldUsage x="-1"/>
        <fieldUsage x="2"/>
      </fieldsUsage>
    </cacheHierarchy>
    <cacheHierarchy uniqueName="[Dates].[Quarter]" caption="Quarter" attribute="1" time="1" defaultMemberUniqueName="[Dates].[Quarter].[All]" allUniqueName="[Dates].[Quarter].[All]" dimensionUniqueName="[Dates]" displayFolder="" count="0" memberValueDatatype="2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2" memberValueDatatype="130" unbalanced="0"/>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0" memberValueDatatype="130" unbalanced="0"/>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20" unbalanced="0"/>
    <cacheHierarchy uniqueName="[Total Targets 4 Years].[Year]" caption="Year" attribute="1" defaultMemberUniqueName="[Total Targets 4 Years].[Year].[All]" allUniqueName="[Total Targets 4 Years].[Year].[All]" dimensionUniqueName="[Total Targets 4 Years]" displayFolder="" count="0" memberValueDatatype="2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total net]" caption="total net" measure="1" displayFolder="" measureGroup="Sales" count="0" oneField="1">
      <fieldsUsage count="1">
        <fieldUsage x="1"/>
      </fieldsUsage>
    </cacheHierarchy>
    <cacheHierarchy uniqueName="[Measures].[total cost]" caption="total cost" measure="1" displayFolder="" measureGroup="Sales" count="0"/>
    <cacheHierarchy uniqueName="[Measures].[profit]" caption="profit" measure="1" displayFolder="" measureGroup="Sales" count="0"/>
    <cacheHierarchy uniqueName="[Measures].[margin]" caption="margin" measure="1" displayFolder="" measureGroup="Sales" count="0"/>
    <cacheHierarchy uniqueName="[Measures].[sales YOY]" caption="sales YOY" measure="1" displayFolder="" measureGroup="Sales" count="0"/>
    <cacheHierarchy uniqueName="[Measures].[Growth]" caption="Growth" measure="1" displayFolder="" measureGroup="Sales" count="0"/>
    <cacheHierarchy uniqueName="[Measures].[total salees]" caption="total salees" measure="1" displayFolder="" measureGroup="Sales" count="0"/>
    <cacheHierarchy uniqueName="[Measures].[__XL_Count Customer Data]" caption="__XL_Count Customer Data" measure="1" displayFolder="" measureGroup="Customer Data" count="0" hidden="1"/>
    <cacheHierarchy uniqueName="[Measures].[__XL_Count Item Cost]" caption="__XL_Count Item Cost" measure="1" displayFolder="" measureGroup="Item Cost" count="0" hidden="1"/>
    <cacheHierarchy uniqueName="[Measures].[__XL_Count Price List]" caption="__XL_Count Price List" measure="1" displayFolder="" measureGroup="Price List" count="0" hidden="1"/>
    <cacheHierarchy uniqueName="[Measures].[__XL_Count Total Targets 4 Years]" caption="__XL_Count Total Targets 4 Years" measure="1" displayFolder="" measureGroup="Total Targets 4 Years" count="0" hidden="1"/>
    <cacheHierarchy uniqueName="[Measures].[__XL_Count Dates]" caption="__XL_Count Dates" measure="1" displayFolder="" measureGroup="Dat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3"/>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29"/>
        </ext>
      </extLst>
    </cacheHierarchy>
  </cacheHierarchies>
  <kpis count="0"/>
  <dimensions count="7">
    <dimension name="Customer Data" uniqueName="[Customer Data]" caption="Customer Data"/>
    <dimension name="Dates" uniqueName="[Dates]" caption="Dates"/>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ustomer Data" caption="Customer Data"/>
    <measureGroup name="Dates" caption="Dates"/>
    <measureGroup name="Item Cost" caption="Item Cost"/>
    <measureGroup name="Price List" caption="Price List"/>
    <measureGroup name="Sales" caption="Sales"/>
    <measureGroup name="Total Targets 4 Years" caption="Total Targets 4 Years"/>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rawy" refreshedDate="46128.575776273145" backgroundQuery="1" createdVersion="8" refreshedVersion="8" minRefreshableVersion="3" recordCount="0" supportSubquery="1" supportAdvancedDrill="1" xr:uid="{22E6DCF9-CCCE-461A-AC6B-21D8A33BEA53}">
  <cacheSource type="external" connectionId="11"/>
  <cacheFields count="3">
    <cacheField name="[Customer Data].[Channel].[Channel]" caption="Channel" numFmtId="0" hierarchy="6" level="1">
      <sharedItems count="4">
        <s v="E-Commerce"/>
        <s v="Key Accounts"/>
        <s v="Retail"/>
        <s v="Whole Sales"/>
      </sharedItems>
    </cacheField>
    <cacheField name="[Measures].[total net]" caption="total net" numFmtId="0" hierarchy="34" level="32767"/>
    <cacheField name="[Dates].[Year].[Year]" caption="Year" numFmtId="0" hierarchy="10" level="1">
      <sharedItems containsSemiMixedTypes="0" containsNonDate="0" containsString="0"/>
    </cacheField>
  </cacheFields>
  <cacheHierarchies count="5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2" memberValueDatatype="130" unbalanced="0">
      <fieldsUsage count="2">
        <fieldUsage x="-1"/>
        <fieldUsage x="0"/>
      </fieldsUsage>
    </cacheHierarchy>
    <cacheHierarchy uniqueName="[Dates].[Date]" caption="Date" attribute="1" time="1" keyAttribute="1" defaultMemberUniqueName="[Dates].[Date].[All]" allUniqueName="[Dates].[Date].[All]" dimensionUniqueName="[Dates]" displayFolder="" count="0" memberValueDatatype="7" unbalanced="0"/>
    <cacheHierarchy uniqueName="[Dates].[Day]" caption="Day" attribute="1" time="1" defaultMemberUniqueName="[Dates].[Day].[All]" allUniqueName="[Dates].[Day].[All]" dimensionUniqueName="[Dates]" displayFolder="" count="0" memberValueDatatype="20" unbalanced="0"/>
    <cacheHierarchy uniqueName="[Dates].[Month]" caption="Month" attribute="1" time="1" defaultMemberUniqueName="[Dates].[Month].[All]" allUniqueName="[Dates].[Month].[All]" dimensionUniqueName="[Dates]" displayFolder="" count="0" memberValueDatatype="20" unbalanced="0"/>
    <cacheHierarchy uniqueName="[Dates].[Year]" caption="Year" attribute="1" time="1" defaultMemberUniqueName="[Dates].[Year].[All]" allUniqueName="[Dates].[Year].[All]" dimensionUniqueName="[Dates]" displayFolder="" count="2" memberValueDatatype="20" unbalanced="0">
      <fieldsUsage count="2">
        <fieldUsage x="-1"/>
        <fieldUsage x="2"/>
      </fieldsUsage>
    </cacheHierarchy>
    <cacheHierarchy uniqueName="[Dates].[Quarter]" caption="Quarter" attribute="1" time="1" defaultMemberUniqueName="[Dates].[Quarter].[All]" allUniqueName="[Dates].[Quarter].[All]" dimensionUniqueName="[Dates]" displayFolder="" count="0" memberValueDatatype="2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2" memberValueDatatype="130" unbalanced="0"/>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0" memberValueDatatype="130" unbalanced="0"/>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20" unbalanced="0"/>
    <cacheHierarchy uniqueName="[Total Targets 4 Years].[Year]" caption="Year" attribute="1" defaultMemberUniqueName="[Total Targets 4 Years].[Year].[All]" allUniqueName="[Total Targets 4 Years].[Year].[All]" dimensionUniqueName="[Total Targets 4 Years]" displayFolder="" count="0" memberValueDatatype="2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total net]" caption="total net" measure="1" displayFolder="" measureGroup="Sales" count="0" oneField="1">
      <fieldsUsage count="1">
        <fieldUsage x="1"/>
      </fieldsUsage>
    </cacheHierarchy>
    <cacheHierarchy uniqueName="[Measures].[total cost]" caption="total cost" measure="1" displayFolder="" measureGroup="Sales" count="0"/>
    <cacheHierarchy uniqueName="[Measures].[profit]" caption="profit" measure="1" displayFolder="" measureGroup="Sales" count="0"/>
    <cacheHierarchy uniqueName="[Measures].[margin]" caption="margin" measure="1" displayFolder="" measureGroup="Sales" count="0"/>
    <cacheHierarchy uniqueName="[Measures].[sales YOY]" caption="sales YOY" measure="1" displayFolder="" measureGroup="Sales" count="0"/>
    <cacheHierarchy uniqueName="[Measures].[Growth]" caption="Growth" measure="1" displayFolder="" measureGroup="Sales" count="0"/>
    <cacheHierarchy uniqueName="[Measures].[total salees]" caption="total salees" measure="1" displayFolder="" measureGroup="Sales" count="0"/>
    <cacheHierarchy uniqueName="[Measures].[__XL_Count Customer Data]" caption="__XL_Count Customer Data" measure="1" displayFolder="" measureGroup="Customer Data" count="0" hidden="1"/>
    <cacheHierarchy uniqueName="[Measures].[__XL_Count Item Cost]" caption="__XL_Count Item Cost" measure="1" displayFolder="" measureGroup="Item Cost" count="0" hidden="1"/>
    <cacheHierarchy uniqueName="[Measures].[__XL_Count Price List]" caption="__XL_Count Price List" measure="1" displayFolder="" measureGroup="Price List" count="0" hidden="1"/>
    <cacheHierarchy uniqueName="[Measures].[__XL_Count Total Targets 4 Years]" caption="__XL_Count Total Targets 4 Years" measure="1" displayFolder="" measureGroup="Total Targets 4 Years" count="0" hidden="1"/>
    <cacheHierarchy uniqueName="[Measures].[__XL_Count Dates]" caption="__XL_Count Dates" measure="1" displayFolder="" measureGroup="Dat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3"/>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29"/>
        </ext>
      </extLst>
    </cacheHierarchy>
  </cacheHierarchies>
  <kpis count="0"/>
  <dimensions count="7">
    <dimension name="Customer Data" uniqueName="[Customer Data]" caption="Customer Data"/>
    <dimension name="Dates" uniqueName="[Dates]" caption="Dates"/>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ustomer Data" caption="Customer Data"/>
    <measureGroup name="Dates" caption="Dates"/>
    <measureGroup name="Item Cost" caption="Item Cost"/>
    <measureGroup name="Price List" caption="Price List"/>
    <measureGroup name="Sales" caption="Sales"/>
    <measureGroup name="Total Targets 4 Years" caption="Total Targets 4 Years"/>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rawy" refreshedDate="46128.575776736114" backgroundQuery="1" createdVersion="8" refreshedVersion="8" minRefreshableVersion="3" recordCount="0" supportSubquery="1" supportAdvancedDrill="1" xr:uid="{9E7CFC0D-4736-4ED5-822F-99757F385BB9}">
  <cacheSource type="external" connectionId="11"/>
  <cacheFields count="6">
    <cacheField name="[Measures].[total salees]" caption="total salees" numFmtId="0" hierarchy="40" level="32767"/>
    <cacheField name="[Measures].[total net]" caption="total net" numFmtId="0" hierarchy="34" level="32767"/>
    <cacheField name="[Measures].[profit]" caption="profit" numFmtId="0" hierarchy="36" level="32767"/>
    <cacheField name="[Measures].[margin]" caption="margin" numFmtId="0" hierarchy="37" level="32767"/>
    <cacheField name="[Measures].[Growth]" caption="Growth" numFmtId="0" hierarchy="39" level="32767"/>
    <cacheField name="[Dates].[Year].[Year]" caption="Year" numFmtId="0" hierarchy="10" level="1">
      <sharedItems containsSemiMixedTypes="0" containsNonDate="0" containsString="0"/>
    </cacheField>
  </cacheFields>
  <cacheHierarchies count="5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0" memberValueDatatype="13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0" memberValueDatatype="130" unbalanced="0"/>
    <cacheHierarchy uniqueName="[Dates].[Date]" caption="Date" attribute="1" time="1" keyAttribute="1" defaultMemberUniqueName="[Dates].[Date].[All]" allUniqueName="[Dates].[Date].[All]" dimensionUniqueName="[Dates]" displayFolder="" count="0" memberValueDatatype="7" unbalanced="0"/>
    <cacheHierarchy uniqueName="[Dates].[Day]" caption="Day" attribute="1" time="1" defaultMemberUniqueName="[Dates].[Day].[All]" allUniqueName="[Dates].[Day].[All]" dimensionUniqueName="[Dates]" displayFolder="" count="0" memberValueDatatype="20" unbalanced="0"/>
    <cacheHierarchy uniqueName="[Dates].[Month]" caption="Month" attribute="1" time="1" defaultMemberUniqueName="[Dates].[Month].[All]" allUniqueName="[Dates].[Month].[All]" dimensionUniqueName="[Dates]" displayFolder="" count="0" memberValueDatatype="20" unbalanced="0"/>
    <cacheHierarchy uniqueName="[Dates].[Year]" caption="Year" attribute="1" time="1" defaultMemberUniqueName="[Dates].[Year].[All]" allUniqueName="[Dates].[Year].[All]" dimensionUniqueName="[Dates]" displayFolder="" count="2" memberValueDatatype="20" unbalanced="0">
      <fieldsUsage count="2">
        <fieldUsage x="-1"/>
        <fieldUsage x="5"/>
      </fieldsUsage>
    </cacheHierarchy>
    <cacheHierarchy uniqueName="[Dates].[Quarter]" caption="Quarter" attribute="1" time="1" defaultMemberUniqueName="[Dates].[Quarter].[All]" allUniqueName="[Dates].[Quarter].[All]" dimensionUniqueName="[Dates]" displayFolder="" count="0" memberValueDatatype="2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0" memberValueDatatype="130" unbalanced="0"/>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0" memberValueDatatype="130" unbalanced="0"/>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20" unbalanced="0"/>
    <cacheHierarchy uniqueName="[Total Targets 4 Years].[Year]" caption="Year" attribute="1" defaultMemberUniqueName="[Total Targets 4 Years].[Year].[All]" allUniqueName="[Total Targets 4 Years].[Year].[All]" dimensionUniqueName="[Total Targets 4 Years]" displayFolder="" count="0" memberValueDatatype="2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total net]" caption="total net" measure="1" displayFolder="" measureGroup="Sales" count="0" oneField="1">
      <fieldsUsage count="1">
        <fieldUsage x="1"/>
      </fieldsUsage>
    </cacheHierarchy>
    <cacheHierarchy uniqueName="[Measures].[total cost]" caption="total cost" measure="1" displayFolder="" measureGroup="Sales" count="0"/>
    <cacheHierarchy uniqueName="[Measures].[profit]" caption="profit" measure="1" displayFolder="" measureGroup="Sales" count="0" oneField="1">
      <fieldsUsage count="1">
        <fieldUsage x="2"/>
      </fieldsUsage>
    </cacheHierarchy>
    <cacheHierarchy uniqueName="[Measures].[margin]" caption="margin" measure="1" displayFolder="" measureGroup="Sales" count="0" oneField="1">
      <fieldsUsage count="1">
        <fieldUsage x="3"/>
      </fieldsUsage>
    </cacheHierarchy>
    <cacheHierarchy uniqueName="[Measures].[sales YOY]" caption="sales YOY" measure="1" displayFolder="" measureGroup="Sales" count="0"/>
    <cacheHierarchy uniqueName="[Measures].[Growth]" caption="Growth" measure="1" displayFolder="" measureGroup="Sales" count="0" oneField="1">
      <fieldsUsage count="1">
        <fieldUsage x="4"/>
      </fieldsUsage>
    </cacheHierarchy>
    <cacheHierarchy uniqueName="[Measures].[total salees]" caption="total salees" measure="1" displayFolder="" measureGroup="Sales" count="0" oneField="1">
      <fieldsUsage count="1">
        <fieldUsage x="0"/>
      </fieldsUsage>
    </cacheHierarchy>
    <cacheHierarchy uniqueName="[Measures].[__XL_Count Customer Data]" caption="__XL_Count Customer Data" measure="1" displayFolder="" measureGroup="Customer Data" count="0" hidden="1"/>
    <cacheHierarchy uniqueName="[Measures].[__XL_Count Item Cost]" caption="__XL_Count Item Cost" measure="1" displayFolder="" measureGroup="Item Cost" count="0" hidden="1"/>
    <cacheHierarchy uniqueName="[Measures].[__XL_Count Price List]" caption="__XL_Count Price List" measure="1" displayFolder="" measureGroup="Price List" count="0" hidden="1"/>
    <cacheHierarchy uniqueName="[Measures].[__XL_Count Total Targets 4 Years]" caption="__XL_Count Total Targets 4 Years" measure="1" displayFolder="" measureGroup="Total Targets 4 Years" count="0" hidden="1"/>
    <cacheHierarchy uniqueName="[Measures].[__XL_Count Dates]" caption="__XL_Count Dates" measure="1" displayFolder="" measureGroup="Dat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3"/>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29"/>
        </ext>
      </extLst>
    </cacheHierarchy>
  </cacheHierarchies>
  <kpis count="0"/>
  <dimensions count="7">
    <dimension name="Customer Data" uniqueName="[Customer Data]" caption="Customer Data"/>
    <dimension name="Dates" uniqueName="[Dates]" caption="Dates"/>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ustomer Data" caption="Customer Data"/>
    <measureGroup name="Dates" caption="Dates"/>
    <measureGroup name="Item Cost" caption="Item Cost"/>
    <measureGroup name="Price List" caption="Price List"/>
    <measureGroup name="Sales" caption="Sales"/>
    <measureGroup name="Total Targets 4 Years" caption="Total Targets 4 Years"/>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5" dimension="0"/>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rawy" refreshedDate="46126.808361805553" backgroundQuery="1" createdVersion="3" refreshedVersion="8" minRefreshableVersion="3" recordCount="0" supportSubquery="1" supportAdvancedDrill="1" xr:uid="{804C14AA-70D9-4E22-8635-4CBC9C080392}">
  <cacheSource type="external" connectionId="11">
    <extLst>
      <ext xmlns:x14="http://schemas.microsoft.com/office/spreadsheetml/2009/9/main" uri="{F057638F-6D5F-4e77-A914-E7F072B9BCA8}">
        <x14:sourceConnection name="ThisWorkbookDataModel"/>
      </ext>
    </extLst>
  </cacheSource>
  <cacheFields count="0"/>
  <cacheHierarchies count="5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0" memberValueDatatype="130" unbalanced="0"/>
    <cacheHierarchy uniqueName="[Dates].[Date]" caption="Date" attribute="1" time="1" keyAttribute="1" defaultMemberUniqueName="[Dates].[Date].[All]" allUniqueName="[Dates].[Date].[All]" dimensionUniqueName="[Dates]" displayFolder="" count="0" memberValueDatatype="7" unbalanced="0"/>
    <cacheHierarchy uniqueName="[Dates].[Day]" caption="Day" attribute="1" time="1" defaultMemberUniqueName="[Dates].[Day].[All]" allUniqueName="[Dates].[Day].[All]" dimensionUniqueName="[Dates]" displayFolder="" count="0" memberValueDatatype="20" unbalanced="0"/>
    <cacheHierarchy uniqueName="[Dates].[Month]" caption="Month" attribute="1" time="1" defaultMemberUniqueName="[Dates].[Month].[All]" allUniqueName="[Dates].[Month].[All]" dimensionUniqueName="[Dates]" displayFolder="" count="0" memberValueDatatype="20" unbalanced="0"/>
    <cacheHierarchy uniqueName="[Dates].[Year]" caption="Year" attribute="1" time="1" defaultMemberUniqueName="[Dates].[Year].[All]" allUniqueName="[Dates].[Year].[All]" dimensionUniqueName="[Dates]" displayFolder="" count="2" memberValueDatatype="20" unbalanced="0"/>
    <cacheHierarchy uniqueName="[Dates].[Quarter]" caption="Quarter" attribute="1" time="1" defaultMemberUniqueName="[Dates].[Quarter].[All]" allUniqueName="[Dates].[Quarter].[All]" dimensionUniqueName="[Dates]" displayFolder="" count="0" memberValueDatatype="2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2" memberValueDatatype="130" unbalanced="0"/>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0" memberValueDatatype="130" unbalanced="0"/>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20" unbalanced="0"/>
    <cacheHierarchy uniqueName="[Total Targets 4 Years].[Year]" caption="Year" attribute="1" defaultMemberUniqueName="[Total Targets 4 Years].[Year].[All]" allUniqueName="[Total Targets 4 Years].[Year].[All]" dimensionUniqueName="[Total Targets 4 Years]" displayFolder="" count="0" memberValueDatatype="2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total net]" caption="total net"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margin]" caption="margin" measure="1" displayFolder="" measureGroup="Sales" count="0"/>
    <cacheHierarchy uniqueName="[Measures].[sales YOY]" caption="sales YOY" measure="1" displayFolder="" measureGroup="Sales" count="0"/>
    <cacheHierarchy uniqueName="[Measures].[Growth]" caption="Growth" measure="1" displayFolder="" measureGroup="Sales" count="0"/>
    <cacheHierarchy uniqueName="[Measures].[total salees]" caption="total salees" measure="1" displayFolder="" measureGroup="Sales" count="0"/>
    <cacheHierarchy uniqueName="[Measures].[__XL_Count Customer Data]" caption="__XL_Count Customer Data" measure="1" displayFolder="" measureGroup="Customer Data" count="0" hidden="1"/>
    <cacheHierarchy uniqueName="[Measures].[__XL_Count Item Cost]" caption="__XL_Count Item Cost" measure="1" displayFolder="" measureGroup="Item Cost" count="0" hidden="1"/>
    <cacheHierarchy uniqueName="[Measures].[__XL_Count Price List]" caption="__XL_Count Price List" measure="1" displayFolder="" measureGroup="Price List" count="0" hidden="1"/>
    <cacheHierarchy uniqueName="[Measures].[__XL_Count Total Targets 4 Years]" caption="__XL_Count Total Targets 4 Years" measure="1" displayFolder="" measureGroup="Total Targets 4 Years" count="0" hidden="1"/>
    <cacheHierarchy uniqueName="[Measures].[__XL_Count Dates]" caption="__XL_Count Dates" measure="1" displayFolder="" measureGroup="Dat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3"/>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1920365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71787D-23B7-46FD-9B7D-BA22B103DEC1}" name="Customer" cacheId="225" applyNumberFormats="0" applyBorderFormats="0" applyFontFormats="0" applyPatternFormats="0" applyAlignmentFormats="0" applyWidthHeightFormats="1" dataCaption="Values" tag="1ae58c34-245e-4653-8ae2-8090b047c2e7" updatedVersion="8" minRefreshableVersion="3" useAutoFormatting="1" subtotalHiddenItems="1" itemPrintTitles="1" createdVersion="8" indent="0" outline="1" outlineData="1" multipleFieldFilters="0" chartFormat="7">
  <location ref="J7:K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Data]"/>
        <x15:activeTabTopLevelEntity name="[Sales]"/>
        <x15:activeTabTopLevelEntity name="[Total Targets 4 Years]"/>
        <x15:activeTabTopLevelEntity name="[Dates]"/>
        <x15:activeTabTopLevelEntity name="[Price 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2612AE-7A96-470B-AC5E-CD1DED0A17FF}" name="Margin" cacheId="219" applyNumberFormats="0" applyBorderFormats="0" applyFontFormats="0" applyPatternFormats="0" applyAlignmentFormats="0" applyWidthHeightFormats="1" dataCaption="Values" tag="b3eba7fd-514d-4870-bccc-0ad90774ee5b" updatedVersion="8" minRefreshableVersion="3" useAutoFormatting="1" subtotalHiddenItems="1" itemPrintTitles="1" createdVersion="8" indent="0" outline="1" outlineData="1" multipleFieldFilters="0" chartFormat="17">
  <location ref="B14:D19"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5">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5" format="10">
      <pivotArea type="data" outline="0" fieldPosition="0">
        <references count="2">
          <reference field="4294967294" count="1" selected="0">
            <x v="1"/>
          </reference>
          <reference field="0" count="1" selected="0">
            <x v="1"/>
          </reference>
        </references>
      </pivotArea>
    </chartFormat>
    <chartFormat chart="15" format="11">
      <pivotArea type="data" outline="0" fieldPosition="0">
        <references count="2">
          <reference field="4294967294" count="1" selected="0">
            <x v="1"/>
          </reference>
          <reference field="0" count="1" selected="0">
            <x v="2"/>
          </reference>
        </references>
      </pivotArea>
    </chartFormat>
    <chartFormat chart="15" format="12">
      <pivotArea type="data" outline="0" fieldPosition="0">
        <references count="2">
          <reference field="4294967294" count="1" selected="0">
            <x v="0"/>
          </reference>
          <reference field="0" count="1" selected="0">
            <x v="2"/>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ice List]"/>
        <x15:activeTabTopLevelEntity name="[Sales]"/>
        <x15:activeTabTopLevelEntity name="[Customer Data]"/>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FF67B8-2B21-4AD1-B9BF-13AD0A5D2136}" name="Growth" cacheId="222" applyNumberFormats="0" applyBorderFormats="0" applyFontFormats="0" applyPatternFormats="0" applyAlignmentFormats="0" applyWidthHeightFormats="1" dataCaption="Values" tag="6598ccf7-cfc6-4f3e-82a6-6bd0c678034d" updatedVersion="8" minRefreshableVersion="3" useAutoFormatting="1" subtotalHiddenItems="1" itemPrintTitles="1" createdVersion="8" indent="0" outline="1" outlineData="1" multipleFieldFilters="0" chartFormat="21">
  <location ref="B6:D11"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5">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 chart="18" format="10">
      <pivotArea type="data" outline="0" fieldPosition="0">
        <references count="2">
          <reference field="4294967294" count="1" selected="0">
            <x v="1"/>
          </reference>
          <reference field="0" count="1" selected="0">
            <x v="2"/>
          </reference>
        </references>
      </pivotArea>
    </chartFormat>
    <chartFormat chart="18" format="11">
      <pivotArea type="data" outline="0" fieldPosition="0">
        <references count="2">
          <reference field="4294967294" count="1" selected="0">
            <x v="1"/>
          </reference>
          <reference field="0" count="1" selected="0">
            <x v="1"/>
          </reference>
        </references>
      </pivotArea>
    </chartFormat>
    <chartFormat chart="18" format="12">
      <pivotArea type="data" outline="0" fieldPosition="0">
        <references count="2">
          <reference field="4294967294" count="1" selected="0">
            <x v="1"/>
          </reference>
          <reference field="0" count="1" selected="0">
            <x v="3"/>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
        <x15:activeTabTopLevelEntity name="[Sales]"/>
        <x15:activeTabTopLevelEntity name="[Price List]"/>
        <x15:activeTabTopLevelEntity name="[Custom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1939E9-834F-41B0-9C8C-C94A600925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O19:P30"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1"/>
    </i>
    <i>
      <x v="4"/>
    </i>
    <i>
      <x v="9"/>
    </i>
    <i>
      <x v="5"/>
    </i>
    <i>
      <x v="7"/>
    </i>
    <i>
      <x v="6"/>
    </i>
    <i>
      <x v="3"/>
    </i>
    <i>
      <x v="2"/>
    </i>
    <i>
      <x/>
    </i>
    <i t="grand">
      <x/>
    </i>
  </rowItems>
  <colItems count="1">
    <i/>
  </colItems>
  <dataFields count="1">
    <dataField fld="1" subtotal="count" baseField="0" baseItem="0"/>
  </dataFields>
  <chartFormats count="2">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0"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3" iMeasureHier="34">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Data]"/>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FC4C66-E60C-4E04-B1E0-3CA74B5A5EA8}" name="PivotTable9" cacheId="231" applyNumberFormats="0" applyBorderFormats="0" applyFontFormats="0" applyPatternFormats="0" applyAlignmentFormats="0" applyWidthHeightFormats="1" dataCaption="Values" tag="d9126055-edb6-4251-96eb-8826e473a96c" updatedVersion="8" minRefreshableVersion="3" useAutoFormatting="1" subtotalHiddenItems="1" itemPrintTitles="1" createdVersion="8" indent="0" outline="1" outlineData="1" multipleFieldFilters="0">
  <location ref="A31:E3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17EBD5-237B-443D-AC6C-6A8043CC12B5}" name="Channel" cacheId="228" applyNumberFormats="0" applyBorderFormats="0" applyFontFormats="0" applyPatternFormats="0" applyAlignmentFormats="0" applyWidthHeightFormats="1" dataCaption="Values" tag="1d718b88-01bf-4c2a-8d24-6efc7bbff9f5" updatedVersion="8" minRefreshableVersion="3" useAutoFormatting="1" subtotalHiddenItems="1" itemPrintTitles="1" createdVersion="8" indent="0" outline="1" outlineData="1" multipleFieldFilters="0" chartFormat="13">
  <location ref="O10:P1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Data]"/>
        <x15:activeTabTopLevelEntity name="[Sales]"/>
        <x15:activeTabTopLevelEntity name="[Price List]"/>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7EBB6EDB-50BB-473F-97D8-208EDFE0473B}" sourceName="[Price List].[Item Category]">
  <pivotTables>
    <pivotTable tabId="1" name="Channel"/>
    <pivotTable tabId="1" name="Customer"/>
    <pivotTable tabId="1" name="Growth"/>
    <pivotTable tabId="1" name="Margin"/>
  </pivotTables>
  <data>
    <olap pivotCacheId="1192036559">
      <levels count="2">
        <level uniqueName="[Price List].[Item Category].[(All)]" sourceCaption="(All)" count="0"/>
        <level uniqueName="[Price List].[Item Category].[Item Category]" sourceCaption="Item Category" count="4">
          <ranges>
            <range startItem="0">
              <i n="[Price List].[Item Category].&amp;[Air Conditioners]" c="Air Conditioners"/>
              <i n="[Price List].[Item Category].&amp;[Home Appliances]" c="Home Appliances"/>
              <i n="[Price List].[Item Category].&amp;[Laptops]" c="Laptops"/>
              <i n="[Price List].[Item Category].&amp;[Mobiles]" c="Mobiles"/>
            </range>
          </ranges>
        </level>
      </levels>
      <selections count="1">
        <selection n="[Price List].[Item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C2EB6E9-9DA3-4ABD-80D4-AB8F411120D4}" sourceName="[Customer Data].[Country]">
  <pivotTables>
    <pivotTable tabId="1" name="Channel"/>
    <pivotTable tabId="1" name="Customer"/>
    <pivotTable tabId="1" name="Growth"/>
    <pivotTable tabId="1" name="Margin"/>
  </pivotTables>
  <data>
    <olap pivotCacheId="1192036559">
      <levels count="2">
        <level uniqueName="[Customer Data].[Country].[(All)]" sourceCaption="(All)" count="0"/>
        <level uniqueName="[Customer Data].[Country].[Country]" sourceCaption="Country" count="20">
          <ranges>
            <range startItem="0">
              <i n="[Customer Data].[Country].&amp;[Algeria]" c="Algeria"/>
              <i n="[Customer Data].[Country].&amp;[Egypt]" c="Egypt"/>
              <i n="[Customer Data].[Country].&amp;[Greece]" c="Greece"/>
              <i n="[Customer Data].[Country].&amp;[India]" c="India"/>
              <i n="[Customer Data].[Country].&amp;[Indonesia]" c="Indonesia"/>
              <i n="[Customer Data].[Country].&amp;[Iraq]" c="Iraq"/>
              <i n="[Customer Data].[Country].&amp;[Kenya]" c="Kenya"/>
              <i n="[Customer Data].[Country].&amp;[Libya]" c="Libya"/>
              <i n="[Customer Data].[Country].&amp;[Malaysia]" c="Malaysia"/>
              <i n="[Customer Data].[Country].&amp;[Morocco]" c="Morocco"/>
              <i n="[Customer Data].[Country].&amp;[Palestine]" c="Palestine"/>
              <i n="[Customer Data].[Country].&amp;[Philippines]" c="Philippines"/>
              <i n="[Customer Data].[Country].&amp;[Romania]" c="Romania"/>
              <i n="[Customer Data].[Country].&amp;[Saudi Arabia]" c="Saudi Arabia"/>
              <i n="[Customer Data].[Country].&amp;[Somalia]" c="Somalia"/>
              <i n="[Customer Data].[Country].&amp;[Sudan]" c="Sudan"/>
              <i n="[Customer Data].[Country].&amp;[Syria]" c="Syria"/>
              <i n="[Customer Data].[Country].&amp;[Tunisia]" c="Tunisia"/>
              <i n="[Customer Data].[Country].&amp;[Turkey]" c="Turkey"/>
              <i n="[Customer Data].[Country].&amp;[Ukraine]" c="Ukraine"/>
            </range>
          </ranges>
        </level>
      </levels>
      <selections count="1">
        <selection n="[Customer Data].[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8EC9B9A-A62C-4D83-B4A3-D2B6F80EE916}" sourceName="[Dates].[Year]">
  <pivotTables>
    <pivotTable tabId="1" name="Margin"/>
    <pivotTable tabId="1" name="Growth"/>
    <pivotTable tabId="1" name="Customer"/>
    <pivotTable tabId="1" name="Channel"/>
    <pivotTable tabId="1" name="PivotTable9"/>
  </pivotTables>
  <data>
    <olap pivotCacheId="1192036559">
      <levels count="2">
        <level uniqueName="[Dates].[Year].[(All)]" sourceCaption="(All)" count="0"/>
        <level uniqueName="[Dates].[Year].[Year]" sourceCaption="Year" count="4">
          <ranges>
            <range startItem="0">
              <i n="[Dates].[Year].&amp;[2019]" c="2019"/>
              <i n="[Dates].[Year].&amp;[2020]" c="2020"/>
              <i n="[Dates].[Year].&amp;[2021]" c="2021"/>
              <i n="[Dates].[Year].&amp;[2022]" c="2022"/>
            </range>
          </ranges>
        </level>
      </levels>
      <selections count="1">
        <selection n="[Dates].[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Category 1" xr10:uid="{990D711A-0AE5-4FC3-B5F6-6BC00BC18DD2}" cache="Slicer_Item_Category" caption="Item Category" level="1" style="SlicerStyleOther1" rowHeight="241300"/>
  <slicer name="Country 1" xr10:uid="{604E22F3-990C-43E4-96C0-0681FD9907AD}" cache="Slicer_Country" caption="Country" columnCount="2" level="1" style="SlicerStyleOther1" rowHeight="241300"/>
  <slicer name="Year 3" xr10:uid="{14CCDD13-424C-4B20-AC94-D1FBC7C73B72}" cache="Slicer_Year1" caption="Year" columnCount="2" level="1"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P39"/>
  <sheetViews>
    <sheetView workbookViewId="0">
      <selection activeCell="K25" sqref="K25"/>
    </sheetView>
  </sheetViews>
  <sheetFormatPr defaultRowHeight="15" x14ac:dyDescent="0.25"/>
  <cols>
    <col min="1" max="2" width="11.140625" bestFit="1" customWidth="1"/>
    <col min="3" max="3" width="10.140625" bestFit="1" customWidth="1"/>
    <col min="4" max="4" width="7.140625" bestFit="1" customWidth="1"/>
    <col min="5" max="5" width="7.7109375" bestFit="1" customWidth="1"/>
    <col min="6" max="6" width="11.140625" bestFit="1" customWidth="1"/>
    <col min="7" max="7" width="7.7109375" bestFit="1" customWidth="1"/>
    <col min="10" max="10" width="13.140625" bestFit="1" customWidth="1"/>
    <col min="11" max="11" width="11.140625" bestFit="1" customWidth="1"/>
    <col min="12" max="12" width="13.28515625" bestFit="1" customWidth="1"/>
    <col min="15" max="15" width="13.140625" bestFit="1" customWidth="1"/>
    <col min="16" max="16" width="11.140625" bestFit="1" customWidth="1"/>
  </cols>
  <sheetData>
    <row r="4" spans="1:16" x14ac:dyDescent="0.25">
      <c r="A4" s="5"/>
      <c r="B4" s="5"/>
      <c r="D4" s="5"/>
      <c r="E4" s="6"/>
      <c r="G4" s="6"/>
    </row>
    <row r="6" spans="1:16" x14ac:dyDescent="0.25">
      <c r="B6" s="3" t="s">
        <v>4</v>
      </c>
      <c r="C6" t="s">
        <v>0</v>
      </c>
      <c r="D6" t="s">
        <v>3</v>
      </c>
    </row>
    <row r="7" spans="1:16" x14ac:dyDescent="0.25">
      <c r="B7" s="4">
        <v>2019</v>
      </c>
      <c r="C7" s="1">
        <v>71362809</v>
      </c>
      <c r="D7" s="2"/>
      <c r="J7" s="3" t="s">
        <v>4</v>
      </c>
      <c r="K7" t="s">
        <v>0</v>
      </c>
    </row>
    <row r="8" spans="1:16" x14ac:dyDescent="0.25">
      <c r="B8" s="4">
        <v>2020</v>
      </c>
      <c r="C8" s="1">
        <v>85420938</v>
      </c>
      <c r="D8" s="2">
        <v>0.19699517433513583</v>
      </c>
      <c r="J8" s="4">
        <v>1</v>
      </c>
      <c r="K8" s="1">
        <v>44800343</v>
      </c>
    </row>
    <row r="9" spans="1:16" x14ac:dyDescent="0.25">
      <c r="B9" s="4">
        <v>2021</v>
      </c>
      <c r="C9" s="1">
        <v>83202624</v>
      </c>
      <c r="D9" s="2">
        <v>-2.5969206753501114E-2</v>
      </c>
      <c r="J9" s="4">
        <v>2</v>
      </c>
      <c r="K9" s="1">
        <v>32131424</v>
      </c>
    </row>
    <row r="10" spans="1:16" x14ac:dyDescent="0.25">
      <c r="B10" s="4">
        <v>2022</v>
      </c>
      <c r="C10" s="1">
        <v>100869948</v>
      </c>
      <c r="D10" s="2">
        <v>0.21234094732396902</v>
      </c>
      <c r="J10" s="4">
        <v>3</v>
      </c>
      <c r="K10" s="1">
        <v>30968111</v>
      </c>
      <c r="O10" s="3" t="s">
        <v>4</v>
      </c>
      <c r="P10" t="s">
        <v>0</v>
      </c>
    </row>
    <row r="11" spans="1:16" x14ac:dyDescent="0.25">
      <c r="B11" s="4" t="s">
        <v>5</v>
      </c>
      <c r="C11" s="1">
        <v>340856319</v>
      </c>
      <c r="D11" s="2">
        <v>0.42031531865615818</v>
      </c>
      <c r="J11" s="4">
        <v>4</v>
      </c>
      <c r="K11" s="1">
        <v>23388362</v>
      </c>
      <c r="O11" s="4" t="s">
        <v>10</v>
      </c>
      <c r="P11" s="1">
        <v>52705325</v>
      </c>
    </row>
    <row r="12" spans="1:16" x14ac:dyDescent="0.25">
      <c r="J12" s="4">
        <v>5</v>
      </c>
      <c r="K12" s="1">
        <v>21849338</v>
      </c>
      <c r="O12" s="4" t="s">
        <v>11</v>
      </c>
      <c r="P12" s="1">
        <v>62208698</v>
      </c>
    </row>
    <row r="13" spans="1:16" x14ac:dyDescent="0.25">
      <c r="J13" s="4">
        <v>6</v>
      </c>
      <c r="K13" s="1">
        <v>26847754</v>
      </c>
      <c r="O13" s="4" t="s">
        <v>12</v>
      </c>
      <c r="P13" s="1">
        <v>98984646</v>
      </c>
    </row>
    <row r="14" spans="1:16" x14ac:dyDescent="0.25">
      <c r="B14" s="3" t="s">
        <v>4</v>
      </c>
      <c r="C14" t="s">
        <v>0</v>
      </c>
      <c r="D14" t="s">
        <v>2</v>
      </c>
      <c r="J14" s="4">
        <v>7</v>
      </c>
      <c r="K14" s="1">
        <v>24751767</v>
      </c>
      <c r="O14" s="4" t="s">
        <v>13</v>
      </c>
      <c r="P14" s="1">
        <v>126957650</v>
      </c>
    </row>
    <row r="15" spans="1:16" x14ac:dyDescent="0.25">
      <c r="B15" s="4" t="s">
        <v>6</v>
      </c>
      <c r="C15" s="1">
        <v>57905920</v>
      </c>
      <c r="D15" s="2">
        <v>0.18243592364994807</v>
      </c>
      <c r="J15" s="4">
        <v>8</v>
      </c>
      <c r="K15" s="1">
        <v>26160130</v>
      </c>
      <c r="O15" s="4" t="s">
        <v>5</v>
      </c>
      <c r="P15" s="1">
        <v>340856319</v>
      </c>
    </row>
    <row r="16" spans="1:16" x14ac:dyDescent="0.25">
      <c r="B16" s="4" t="s">
        <v>7</v>
      </c>
      <c r="C16" s="1">
        <v>146093299</v>
      </c>
      <c r="D16" s="2">
        <v>0.14944216572178304</v>
      </c>
      <c r="J16" s="4">
        <v>9</v>
      </c>
      <c r="K16" s="1">
        <v>25264517</v>
      </c>
    </row>
    <row r="17" spans="1:16" x14ac:dyDescent="0.25">
      <c r="B17" s="4" t="s">
        <v>8</v>
      </c>
      <c r="C17" s="1">
        <v>91153088</v>
      </c>
      <c r="D17" s="2">
        <v>0.17254915159868198</v>
      </c>
      <c r="J17" s="4">
        <v>10</v>
      </c>
      <c r="K17" s="1">
        <v>27232932</v>
      </c>
    </row>
    <row r="18" spans="1:16" x14ac:dyDescent="0.25">
      <c r="B18" s="4" t="s">
        <v>9</v>
      </c>
      <c r="C18" s="1">
        <v>45704012</v>
      </c>
      <c r="D18" s="2">
        <v>0.20337299928942781</v>
      </c>
      <c r="J18" s="4">
        <v>11</v>
      </c>
      <c r="K18" s="1">
        <v>27605449</v>
      </c>
      <c r="O18" s="4" t="s">
        <v>27</v>
      </c>
    </row>
    <row r="19" spans="1:16" x14ac:dyDescent="0.25">
      <c r="B19" s="4" t="s">
        <v>5</v>
      </c>
      <c r="C19" s="1">
        <v>340856319</v>
      </c>
      <c r="D19" s="2">
        <v>0.1684579859585939</v>
      </c>
      <c r="J19" s="4">
        <v>12</v>
      </c>
      <c r="K19" s="1">
        <v>29856192</v>
      </c>
      <c r="O19" s="3" t="s">
        <v>4</v>
      </c>
      <c r="P19" t="s">
        <v>0</v>
      </c>
    </row>
    <row r="20" spans="1:16" x14ac:dyDescent="0.25">
      <c r="J20" s="4" t="s">
        <v>5</v>
      </c>
      <c r="K20" s="1">
        <v>340856319</v>
      </c>
      <c r="O20" s="4" t="s">
        <v>25</v>
      </c>
      <c r="P20" s="1">
        <v>11882375</v>
      </c>
    </row>
    <row r="21" spans="1:16" x14ac:dyDescent="0.25">
      <c r="O21" s="4" t="s">
        <v>18</v>
      </c>
      <c r="P21" s="1">
        <v>12610070</v>
      </c>
    </row>
    <row r="22" spans="1:16" x14ac:dyDescent="0.25">
      <c r="O22" s="4" t="s">
        <v>21</v>
      </c>
      <c r="P22" s="1">
        <v>13262486</v>
      </c>
    </row>
    <row r="23" spans="1:16" x14ac:dyDescent="0.25">
      <c r="O23" s="4" t="s">
        <v>26</v>
      </c>
      <c r="P23" s="1">
        <v>14516552</v>
      </c>
    </row>
    <row r="24" spans="1:16" x14ac:dyDescent="0.25">
      <c r="O24" s="4" t="s">
        <v>22</v>
      </c>
      <c r="P24" s="1">
        <v>19276593</v>
      </c>
    </row>
    <row r="25" spans="1:16" x14ac:dyDescent="0.25">
      <c r="O25" s="4" t="s">
        <v>24</v>
      </c>
      <c r="P25" s="1">
        <v>19382853</v>
      </c>
    </row>
    <row r="26" spans="1:16" x14ac:dyDescent="0.25">
      <c r="O26" s="4" t="s">
        <v>23</v>
      </c>
      <c r="P26" s="1">
        <v>19390961</v>
      </c>
    </row>
    <row r="27" spans="1:16" x14ac:dyDescent="0.25">
      <c r="O27" s="4" t="s">
        <v>20</v>
      </c>
      <c r="P27" s="1">
        <v>22710111</v>
      </c>
    </row>
    <row r="28" spans="1:16" x14ac:dyDescent="0.25">
      <c r="O28" s="4" t="s">
        <v>19</v>
      </c>
      <c r="P28" s="1">
        <v>27550545</v>
      </c>
    </row>
    <row r="29" spans="1:16" x14ac:dyDescent="0.25">
      <c r="O29" s="4" t="s">
        <v>17</v>
      </c>
      <c r="P29" s="1">
        <v>101669035</v>
      </c>
    </row>
    <row r="30" spans="1:16" x14ac:dyDescent="0.25">
      <c r="O30" s="4" t="s">
        <v>5</v>
      </c>
      <c r="P30" s="1">
        <v>262251581</v>
      </c>
    </row>
    <row r="31" spans="1:16" x14ac:dyDescent="0.25">
      <c r="A31" t="s">
        <v>14</v>
      </c>
      <c r="B31" t="s">
        <v>0</v>
      </c>
      <c r="C31" t="s">
        <v>1</v>
      </c>
      <c r="D31" t="s">
        <v>2</v>
      </c>
      <c r="E31" t="s">
        <v>3</v>
      </c>
    </row>
    <row r="32" spans="1:16" x14ac:dyDescent="0.25">
      <c r="A32" s="1">
        <v>419145700</v>
      </c>
      <c r="B32" s="1">
        <v>340856319</v>
      </c>
      <c r="C32" s="1">
        <v>57419969</v>
      </c>
      <c r="D32" s="2">
        <v>0.1684579859585939</v>
      </c>
      <c r="E32" s="2">
        <v>0.42031531865615818</v>
      </c>
    </row>
    <row r="35" spans="1:2" ht="18.75" x14ac:dyDescent="0.3">
      <c r="A35" t="s">
        <v>15</v>
      </c>
      <c r="B35" s="8">
        <f>GETPIVOTDATA("[Measures].[total salees]",$A$31)</f>
        <v>419145700</v>
      </c>
    </row>
    <row r="36" spans="1:2" x14ac:dyDescent="0.25">
      <c r="A36" t="s">
        <v>16</v>
      </c>
      <c r="B36" s="5">
        <f>GETPIVOTDATA("[Measures].[total net]",$A$31)</f>
        <v>340856319</v>
      </c>
    </row>
    <row r="37" spans="1:2" x14ac:dyDescent="0.25">
      <c r="A37" t="s">
        <v>1</v>
      </c>
      <c r="B37" s="5">
        <f>GETPIVOTDATA("[Measures].[profit]",$A$31)</f>
        <v>57419969</v>
      </c>
    </row>
    <row r="38" spans="1:2" x14ac:dyDescent="0.25">
      <c r="A38" t="s">
        <v>2</v>
      </c>
      <c r="B38" s="7">
        <f>GETPIVOTDATA("[Measures].[margin]",$A$31)</f>
        <v>0.1684579859585939</v>
      </c>
    </row>
    <row r="39" spans="1:2" x14ac:dyDescent="0.25">
      <c r="A39" t="s">
        <v>3</v>
      </c>
      <c r="B39" s="6">
        <f>GETPIVOTDATA("[Measures].[Growth]",$A$31)</f>
        <v>0.42031531865615818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E43B2-E4E7-4448-8244-085E534C1031}">
  <dimension ref="G4"/>
  <sheetViews>
    <sheetView tabSelected="1" topLeftCell="A9" zoomScale="90" zoomScaleNormal="90" workbookViewId="0">
      <selection activeCell="T16" sqref="T16"/>
    </sheetView>
  </sheetViews>
  <sheetFormatPr defaultRowHeight="15" x14ac:dyDescent="0.25"/>
  <cols>
    <col min="1" max="6" width="9.140625" style="10"/>
    <col min="7" max="7" width="36.28515625" style="10" bestFit="1" customWidth="1"/>
    <col min="8" max="16384" width="9.140625" style="10"/>
  </cols>
  <sheetData>
    <row r="4" spans="7:7" ht="33.75" x14ac:dyDescent="0.5">
      <c r="G4"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FE6D5-EC92-4505-978E-43EBA82DA5CA}">
  <dimension ref="A1"/>
  <sheetViews>
    <sheetView workbookViewId="0">
      <selection activeCell="E4" sqref="E4"/>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69F94A9D-859E-4B9B-8185-12DD03E6DCBA}">
  <ds:schemaRefs/>
</ds:datastoreItem>
</file>

<file path=customXml/itemProps2.xml><?xml version="1.0" encoding="utf-8"?>
<ds:datastoreItem xmlns:ds="http://schemas.openxmlformats.org/officeDocument/2006/customXml" ds:itemID="{5521569B-1F56-42F4-AE8D-5E7B72CC2EC1}">
  <ds:schemaRefs/>
</ds:datastoreItem>
</file>

<file path=customXml/itemProps3.xml><?xml version="1.0" encoding="utf-8"?>
<ds:datastoreItem xmlns:ds="http://schemas.openxmlformats.org/officeDocument/2006/customXml" ds:itemID="{FB929667-C105-4175-92F2-BC216A3D5703}">
  <ds:schemaRefs/>
</ds:datastoreItem>
</file>

<file path=customXml/itemProps4.xml><?xml version="1.0" encoding="utf-8"?>
<ds:datastoreItem xmlns:ds="http://schemas.openxmlformats.org/officeDocument/2006/customXml" ds:itemID="{4D754A13-71A0-414A-A05F-BAC8368A593D}">
  <ds:schemaRefs/>
</ds:datastoreItem>
</file>

<file path=customXml/itemProps5.xml><?xml version="1.0" encoding="utf-8"?>
<ds:datastoreItem xmlns:ds="http://schemas.openxmlformats.org/officeDocument/2006/customXml" ds:itemID="{DCEBC799-EE5D-41BF-9695-14355954E178}">
  <ds:schemaRefs/>
</ds:datastoreItem>
</file>

<file path=customXml/itemProps6.xml><?xml version="1.0" encoding="utf-8"?>
<ds:datastoreItem xmlns:ds="http://schemas.openxmlformats.org/officeDocument/2006/customXml" ds:itemID="{CFC86821-9618-4DCB-9728-6748DBB22670}">
  <ds:schemaRefs/>
</ds:datastoreItem>
</file>

<file path=customXml/itemProps7.xml><?xml version="1.0" encoding="utf-8"?>
<ds:datastoreItem xmlns:ds="http://schemas.openxmlformats.org/officeDocument/2006/customXml" ds:itemID="{DE2993EC-D3CB-47C8-8D17-B47F76C3FDF8}">
  <ds:schemaRefs/>
</ds:datastoreItem>
</file>

<file path=customXml/itemProps8.xml><?xml version="1.0" encoding="utf-8"?>
<ds:datastoreItem xmlns:ds="http://schemas.openxmlformats.org/officeDocument/2006/customXml" ds:itemID="{AF46C064-4F28-4C4D-97EA-3A040FEED3FA}">
  <ds:schemaRefs/>
</ds:datastoreItem>
</file>

<file path=customXml/itemProps9.xml><?xml version="1.0" encoding="utf-8"?>
<ds:datastoreItem xmlns:ds="http://schemas.openxmlformats.org/officeDocument/2006/customXml" ds:itemID="{34AE9BA9-E56E-4A98-866C-1EA9CB0E89D0}">
  <ds:schemaRefs/>
</ds:datastoreItem>
</file>

<file path=customXml/itemProps10.xml><?xml version="1.0" encoding="utf-8"?>
<ds:datastoreItem xmlns:ds="http://schemas.openxmlformats.org/officeDocument/2006/customXml" ds:itemID="{D43A517E-6EBA-4D1D-A840-D09888DBE36A}">
  <ds:schemaRefs>
    <ds:schemaRef ds:uri="http://schemas.microsoft.com/DataMashup"/>
  </ds:schemaRefs>
</ds:datastoreItem>
</file>

<file path=customXml/itemProps11.xml><?xml version="1.0" encoding="utf-8"?>
<ds:datastoreItem xmlns:ds="http://schemas.openxmlformats.org/officeDocument/2006/customXml" ds:itemID="{CDDF5759-909F-420B-A8C2-9DDBD7626EC5}">
  <ds:schemaRefs/>
</ds:datastoreItem>
</file>

<file path=customXml/itemProps12.xml><?xml version="1.0" encoding="utf-8"?>
<ds:datastoreItem xmlns:ds="http://schemas.openxmlformats.org/officeDocument/2006/customXml" ds:itemID="{B06E742F-883A-444E-8E55-F653D429C14F}">
  <ds:schemaRefs/>
</ds:datastoreItem>
</file>

<file path=customXml/itemProps13.xml><?xml version="1.0" encoding="utf-8"?>
<ds:datastoreItem xmlns:ds="http://schemas.openxmlformats.org/officeDocument/2006/customXml" ds:itemID="{6BDDC9E8-A8A3-4453-8A44-37DA1A3BD59A}">
  <ds:schemaRefs/>
</ds:datastoreItem>
</file>

<file path=customXml/itemProps14.xml><?xml version="1.0" encoding="utf-8"?>
<ds:datastoreItem xmlns:ds="http://schemas.openxmlformats.org/officeDocument/2006/customXml" ds:itemID="{4DE21008-8AB0-4810-BA01-E7F977F96416}">
  <ds:schemaRefs/>
</ds:datastoreItem>
</file>

<file path=customXml/itemProps15.xml><?xml version="1.0" encoding="utf-8"?>
<ds:datastoreItem xmlns:ds="http://schemas.openxmlformats.org/officeDocument/2006/customXml" ds:itemID="{2E705F8F-ADD1-44A8-84BF-E91529780590}">
  <ds:schemaRefs/>
</ds:datastoreItem>
</file>

<file path=customXml/itemProps16.xml><?xml version="1.0" encoding="utf-8"?>
<ds:datastoreItem xmlns:ds="http://schemas.openxmlformats.org/officeDocument/2006/customXml" ds:itemID="{845E8870-15BB-4BCA-9BDB-6DABC0971ED6}">
  <ds:schemaRefs/>
</ds:datastoreItem>
</file>

<file path=customXml/itemProps17.xml><?xml version="1.0" encoding="utf-8"?>
<ds:datastoreItem xmlns:ds="http://schemas.openxmlformats.org/officeDocument/2006/customXml" ds:itemID="{CBC1D792-B11D-4F5C-908F-5DCB0BA79768}">
  <ds:schemaRefs/>
</ds:datastoreItem>
</file>

<file path=customXml/itemProps18.xml><?xml version="1.0" encoding="utf-8"?>
<ds:datastoreItem xmlns:ds="http://schemas.openxmlformats.org/officeDocument/2006/customXml" ds:itemID="{3F070B79-0625-43ED-BAD6-7DC935C5A98C}">
  <ds:schemaRefs/>
</ds:datastoreItem>
</file>

<file path=customXml/itemProps19.xml><?xml version="1.0" encoding="utf-8"?>
<ds:datastoreItem xmlns:ds="http://schemas.openxmlformats.org/officeDocument/2006/customXml" ds:itemID="{04160778-B2F6-4A8B-BEAA-83594A6591D4}">
  <ds:schemaRefs/>
</ds:datastoreItem>
</file>

<file path=customXml/itemProps20.xml><?xml version="1.0" encoding="utf-8"?>
<ds:datastoreItem xmlns:ds="http://schemas.openxmlformats.org/officeDocument/2006/customXml" ds:itemID="{10B3EE67-B841-4F52-A3F3-17945EABE043}">
  <ds:schemaRefs/>
</ds:datastoreItem>
</file>

<file path=customXml/itemProps21.xml><?xml version="1.0" encoding="utf-8"?>
<ds:datastoreItem xmlns:ds="http://schemas.openxmlformats.org/officeDocument/2006/customXml" ds:itemID="{5926ABAE-C5A9-40E0-A14F-CAA98BA3B692}">
  <ds:schemaRefs/>
</ds:datastoreItem>
</file>

<file path=customXml/itemProps22.xml><?xml version="1.0" encoding="utf-8"?>
<ds:datastoreItem xmlns:ds="http://schemas.openxmlformats.org/officeDocument/2006/customXml" ds:itemID="{261EB036-2FC0-4D42-8684-0D58A7160992}">
  <ds:schemaRefs/>
</ds:datastoreItem>
</file>

<file path=customXml/itemProps23.xml><?xml version="1.0" encoding="utf-8"?>
<ds:datastoreItem xmlns:ds="http://schemas.openxmlformats.org/officeDocument/2006/customXml" ds:itemID="{155C04D6-C66B-413F-B0CC-47B5EF29AC7D}">
  <ds:schemaRefs/>
</ds:datastoreItem>
</file>

<file path=customXml/itemProps24.xml><?xml version="1.0" encoding="utf-8"?>
<ds:datastoreItem xmlns:ds="http://schemas.openxmlformats.org/officeDocument/2006/customXml" ds:itemID="{7DE55CCA-C9D3-4239-B987-EC25BB2AE1D3}">
  <ds:schemaRefs/>
</ds:datastoreItem>
</file>

<file path=customXml/itemProps25.xml><?xml version="1.0" encoding="utf-8"?>
<ds:datastoreItem xmlns:ds="http://schemas.openxmlformats.org/officeDocument/2006/customXml" ds:itemID="{DA3BCC70-9609-4463-8142-9419C9BDD45C}">
  <ds:schemaRefs/>
</ds:datastoreItem>
</file>

<file path=customXml/itemProps26.xml><?xml version="1.0" encoding="utf-8"?>
<ds:datastoreItem xmlns:ds="http://schemas.openxmlformats.org/officeDocument/2006/customXml" ds:itemID="{79C7F0F0-39E0-4B34-AC92-83A001DF65DC}">
  <ds:schemaRefs/>
</ds:datastoreItem>
</file>

<file path=customXml/itemProps27.xml><?xml version="1.0" encoding="utf-8"?>
<ds:datastoreItem xmlns:ds="http://schemas.openxmlformats.org/officeDocument/2006/customXml" ds:itemID="{E6CF4C56-CD3E-43EA-8FC1-3772CFD46C76}">
  <ds:schemaRefs/>
</ds:datastoreItem>
</file>

<file path=customXml/itemProps28.xml><?xml version="1.0" encoding="utf-8"?>
<ds:datastoreItem xmlns:ds="http://schemas.openxmlformats.org/officeDocument/2006/customXml" ds:itemID="{C526BAC8-E378-402A-968D-DA92E07D338B}">
  <ds:schemaRefs/>
</ds:datastoreItem>
</file>

<file path=customXml/itemProps29.xml><?xml version="1.0" encoding="utf-8"?>
<ds:datastoreItem xmlns:ds="http://schemas.openxmlformats.org/officeDocument/2006/customXml" ds:itemID="{04EDCB54-1ADB-47C8-A087-92D5B94DC290}">
  <ds:schemaRefs/>
</ds:datastoreItem>
</file>

<file path=customXml/itemProps30.xml><?xml version="1.0" encoding="utf-8"?>
<ds:datastoreItem xmlns:ds="http://schemas.openxmlformats.org/officeDocument/2006/customXml" ds:itemID="{E0DDFB19-F32D-45EF-B22D-E9D45BC37BD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poivot table</vt:lpstr>
      <vt:lpstr>dashboard</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Elrawy</dc:creator>
  <cp:lastModifiedBy>ahmed ramadan</cp:lastModifiedBy>
  <dcterms:created xsi:type="dcterms:W3CDTF">2015-06-05T18:17:20Z</dcterms:created>
  <dcterms:modified xsi:type="dcterms:W3CDTF">2026-04-16T14:19:30Z</dcterms:modified>
</cp:coreProperties>
</file>